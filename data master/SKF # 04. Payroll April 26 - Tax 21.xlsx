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Chacha\PT Kalapa Teknologi Putera\Invoice\20 SKF\04 April 26\"/>
    </mc:Choice>
  </mc:AlternateContent>
  <xr:revisionPtr revIDLastSave="0" documentId="8_{97640E0C-EF31-43F9-BCDE-DFBFF81E6447}" xr6:coauthVersionLast="36" xr6:coauthVersionMax="36" xr10:uidLastSave="{00000000-0000-0000-0000-000000000000}"/>
  <bookViews>
    <workbookView xWindow="-100" yWindow="-100" windowWidth="21800" windowHeight="12980" tabRatio="698" firstSheet="1" activeTab="3" xr2:uid="{00000000-000D-0000-FFFF-FFFF00000000}"/>
  </bookViews>
  <sheets>
    <sheet name="Structure" sheetId="1" state="hidden" r:id="rId1"/>
    <sheet name="Transfer" sheetId="6" r:id="rId2"/>
    <sheet name="PPh 21" sheetId="5" r:id="rId3"/>
    <sheet name="Salary" sheetId="2" r:id="rId4"/>
    <sheet name="Slip Gaji" sheetId="8" r:id="rId5"/>
    <sheet name="TER" sheetId="3" state="hidden" r:id="rId6"/>
  </sheets>
  <definedNames>
    <definedName name="_xlnm.Print_Area" localSheetId="4">'Slip Gaji'!$A$1:$M$45</definedName>
  </definedNames>
  <calcPr calcId="191029"/>
  <pivotCaches>
    <pivotCache cacheId="66" r:id="rId7"/>
  </pivotCaches>
</workbook>
</file>

<file path=xl/calcChain.xml><?xml version="1.0" encoding="utf-8"?>
<calcChain xmlns="http://schemas.openxmlformats.org/spreadsheetml/2006/main">
  <c r="AJ6" i="2" l="1"/>
  <c r="Y6" i="2"/>
  <c r="Y9" i="2"/>
  <c r="Y8" i="2"/>
  <c r="Y7" i="2"/>
  <c r="AG9" i="2"/>
  <c r="AG8" i="2"/>
  <c r="AG7" i="2"/>
  <c r="AG6" i="2"/>
  <c r="R9" i="2"/>
  <c r="R8" i="2"/>
  <c r="R7" i="2"/>
  <c r="R6" i="2"/>
  <c r="AE9" i="2" l="1"/>
  <c r="AE8" i="2"/>
  <c r="AE7" i="2"/>
  <c r="AE6" i="2"/>
  <c r="AB9" i="2"/>
  <c r="AB8" i="2"/>
  <c r="AB7" i="2"/>
  <c r="AB6" i="2"/>
  <c r="Q9" i="2"/>
  <c r="P9" i="2"/>
  <c r="O9" i="2"/>
  <c r="N9" i="2"/>
  <c r="Q8" i="2"/>
  <c r="P8" i="2"/>
  <c r="O8" i="2"/>
  <c r="N8" i="2"/>
  <c r="Q7" i="2"/>
  <c r="P7" i="2"/>
  <c r="O7" i="2"/>
  <c r="N7" i="2"/>
  <c r="Q6" i="2"/>
  <c r="P6" i="2"/>
  <c r="O6" i="2"/>
  <c r="N6" i="2"/>
  <c r="AL17" i="2" l="1"/>
  <c r="AI17" i="2"/>
  <c r="AH17" i="2"/>
  <c r="X17" i="2"/>
  <c r="W17" i="2"/>
  <c r="V17" i="2"/>
  <c r="U17" i="2"/>
  <c r="T17" i="2"/>
  <c r="S17" i="2"/>
  <c r="L17" i="2"/>
  <c r="AG17" i="2"/>
  <c r="AB17" i="2"/>
  <c r="AF9" i="2"/>
  <c r="AF8" i="2"/>
  <c r="AF7" i="2"/>
  <c r="AF6" i="2"/>
  <c r="Q17" i="2"/>
  <c r="P17" i="2"/>
  <c r="Z6" i="2"/>
  <c r="AF17" i="2" l="1"/>
  <c r="AE17" i="2"/>
  <c r="O17" i="2"/>
  <c r="R17" i="2"/>
  <c r="N17" i="2"/>
  <c r="E22" i="8"/>
  <c r="K8" i="8" l="1"/>
  <c r="K7" i="8"/>
  <c r="K6" i="8"/>
  <c r="L26" i="8"/>
  <c r="E25" i="8"/>
  <c r="E24" i="8"/>
  <c r="E15" i="8"/>
  <c r="C11" i="8"/>
  <c r="C10" i="8"/>
  <c r="C9" i="8"/>
  <c r="L22" i="8" l="1"/>
  <c r="BF9" i="2"/>
  <c r="AS9" i="2"/>
  <c r="BG9" i="2" l="1"/>
  <c r="C7" i="8" l="1"/>
  <c r="B36" i="8" s="1"/>
  <c r="C6" i="8"/>
  <c r="A45" i="8" s="1"/>
  <c r="BG8" i="2"/>
  <c r="BF8" i="2"/>
  <c r="BG7" i="2"/>
  <c r="BF7" i="2"/>
  <c r="BG6" i="2"/>
  <c r="BF6" i="2"/>
  <c r="E23" i="8" l="1"/>
  <c r="AD9" i="2"/>
  <c r="A7" i="2"/>
  <c r="A8" i="2" s="1"/>
  <c r="A9" i="2" s="1"/>
  <c r="A2" i="6"/>
  <c r="A1" i="6"/>
  <c r="A2" i="5"/>
  <c r="A1" i="5"/>
  <c r="L21" i="8" l="1"/>
  <c r="L24" i="8"/>
  <c r="E17" i="8"/>
  <c r="E20" i="8"/>
  <c r="E21" i="8"/>
  <c r="L25" i="8"/>
  <c r="E18" i="8"/>
  <c r="E19" i="8"/>
  <c r="AA6" i="2"/>
  <c r="AA9" i="2"/>
  <c r="AC9" i="2"/>
  <c r="Z9" i="2"/>
  <c r="AJ9" i="2" l="1"/>
  <c r="L18" i="8"/>
  <c r="L17" i="8"/>
  <c r="AV9" i="2"/>
  <c r="E28" i="8"/>
  <c r="AS7" i="2"/>
  <c r="AS8" i="2"/>
  <c r="AS6" i="2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AT9" i="2" l="1" a="1"/>
  <c r="AT9" i="2" s="1"/>
  <c r="AU9" i="2" s="1"/>
  <c r="AK9" i="2" s="1"/>
  <c r="AM9" i="2" s="1"/>
  <c r="AD6" i="2"/>
  <c r="AC6" i="2"/>
  <c r="Z7" i="2"/>
  <c r="AF4" i="2"/>
  <c r="AD4" i="2"/>
  <c r="AC4" i="2"/>
  <c r="AA4" i="2"/>
  <c r="Z4" i="2"/>
  <c r="AA7" i="2"/>
  <c r="AC7" i="2"/>
  <c r="AD7" i="2"/>
  <c r="Z8" i="2"/>
  <c r="AA8" i="2"/>
  <c r="AC8" i="2"/>
  <c r="AD8" i="2"/>
  <c r="Z17" i="2" l="1"/>
  <c r="AC17" i="2"/>
  <c r="AA17" i="2"/>
  <c r="AD17" i="2"/>
  <c r="L16" i="8"/>
  <c r="L19" i="8"/>
  <c r="L30" i="8"/>
  <c r="AJ7" i="2"/>
  <c r="Y17" i="2"/>
  <c r="AV6" i="2"/>
  <c r="AJ8" i="2"/>
  <c r="AV8" i="2"/>
  <c r="H4" i="1"/>
  <c r="H5" i="1"/>
  <c r="H6" i="1"/>
  <c r="H7" i="1"/>
  <c r="H8" i="1"/>
  <c r="H9" i="1"/>
  <c r="H10" i="1"/>
  <c r="H11" i="1"/>
  <c r="H12" i="1"/>
  <c r="H13" i="1"/>
  <c r="H14" i="1"/>
  <c r="H15" i="1"/>
  <c r="H3" i="1"/>
  <c r="L23" i="8" l="1"/>
  <c r="L28" i="8" s="1"/>
  <c r="AV7" i="2"/>
  <c r="AT7" i="2" s="1" a="1"/>
  <c r="AT7" i="2" s="1"/>
  <c r="AU7" i="2" s="1"/>
  <c r="AK7" i="2" s="1"/>
  <c r="AT6" i="2" a="1"/>
  <c r="AT6" i="2" s="1"/>
  <c r="AU6" i="2" s="1"/>
  <c r="AK6" i="2" s="1"/>
  <c r="AM6" i="2" s="1"/>
  <c r="AJ17" i="2"/>
  <c r="AT8" i="2" a="1"/>
  <c r="AT8" i="2" s="1"/>
  <c r="AU8" i="2" s="1"/>
  <c r="AK8" i="2" s="1"/>
  <c r="AK17" i="2" l="1"/>
  <c r="AU17" i="2"/>
  <c r="AV17" i="2"/>
  <c r="AM8" i="2"/>
  <c r="AM7" i="2"/>
  <c r="AM17" i="2" l="1"/>
  <c r="L33" i="8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<sst xmlns="http://schemas.openxmlformats.org/spreadsheetml/2006/main" count="476" uniqueCount="158">
  <si>
    <t>Level</t>
  </si>
  <si>
    <t>BOD</t>
  </si>
  <si>
    <t>Manager A</t>
  </si>
  <si>
    <t>Manager B</t>
  </si>
  <si>
    <t>Manager C</t>
  </si>
  <si>
    <t>Supervisor A</t>
  </si>
  <si>
    <t>Supervisor B</t>
  </si>
  <si>
    <t>Supervisor C</t>
  </si>
  <si>
    <t>Staff A</t>
  </si>
  <si>
    <t>Staff B</t>
  </si>
  <si>
    <t>Staff C</t>
  </si>
  <si>
    <t>Non-Staff A</t>
  </si>
  <si>
    <t>Non-Staff B</t>
  </si>
  <si>
    <t>Non-Staff C</t>
  </si>
  <si>
    <t>Bonus Kinerja, THR</t>
  </si>
  <si>
    <t>Insentif Tim, Lembur, THR</t>
  </si>
  <si>
    <t>Insentif Individu, Lembur, THR</t>
  </si>
  <si>
    <t>Lembur, THR</t>
  </si>
  <si>
    <t>No</t>
  </si>
  <si>
    <t>Gov Tax File No</t>
  </si>
  <si>
    <t>Position</t>
  </si>
  <si>
    <t>Department</t>
  </si>
  <si>
    <t>Employment Status</t>
  </si>
  <si>
    <t>Join Date</t>
  </si>
  <si>
    <t>Terminate Date</t>
  </si>
  <si>
    <t>Length Of Service</t>
  </si>
  <si>
    <t>Tax Status</t>
  </si>
  <si>
    <t>JKM</t>
  </si>
  <si>
    <t>JKK</t>
  </si>
  <si>
    <t>JHT Company</t>
  </si>
  <si>
    <t>JP Company</t>
  </si>
  <si>
    <t>BPJS Company</t>
  </si>
  <si>
    <t>Position Allowance</t>
  </si>
  <si>
    <t>Total Income</t>
  </si>
  <si>
    <t>JHT Employee</t>
  </si>
  <si>
    <t>JP Employee</t>
  </si>
  <si>
    <t>BPJS Employee</t>
  </si>
  <si>
    <t>Cut-Off</t>
  </si>
  <si>
    <t>Total Deduction</t>
  </si>
  <si>
    <t>Net Salary</t>
  </si>
  <si>
    <t>Bank</t>
  </si>
  <si>
    <t>Basic Salary</t>
  </si>
  <si>
    <t>Tax</t>
  </si>
  <si>
    <t>Tax Penalty</t>
  </si>
  <si>
    <t>Jenis TER</t>
  </si>
  <si>
    <t>PPh 21 TER</t>
  </si>
  <si>
    <t>Tax Allowance</t>
  </si>
  <si>
    <t>Gross Salary for Tax</t>
  </si>
  <si>
    <t>Fixed Allowance</t>
  </si>
  <si>
    <t>Transport Allowance</t>
  </si>
  <si>
    <t>Communication Allowance</t>
  </si>
  <si>
    <t>Meal Allowance</t>
  </si>
  <si>
    <t>PPh 21 Allowance</t>
  </si>
  <si>
    <t>Total Fixed Income</t>
  </si>
  <si>
    <t>Variable Allowance</t>
  </si>
  <si>
    <t>KTP ID</t>
  </si>
  <si>
    <t>TK/0</t>
  </si>
  <si>
    <t>Penghasilan Bruto</t>
  </si>
  <si>
    <t>TER</t>
  </si>
  <si>
    <t>Deskripsi</t>
  </si>
  <si>
    <t>TER A</t>
  </si>
  <si>
    <t>s.d</t>
  </si>
  <si>
    <t>TK/1</t>
  </si>
  <si>
    <t>K/0</t>
  </si>
  <si>
    <t>TK/2</t>
  </si>
  <si>
    <t>TER B</t>
  </si>
  <si>
    <t>TK/3</t>
  </si>
  <si>
    <t>HB/0</t>
  </si>
  <si>
    <t>HB/1</t>
  </si>
  <si>
    <t>HB/2</t>
  </si>
  <si>
    <t>HB/3</t>
  </si>
  <si>
    <t>K/1</t>
  </si>
  <si>
    <t>K/2</t>
  </si>
  <si>
    <t>K/3</t>
  </si>
  <si>
    <t>TER C</t>
  </si>
  <si>
    <t>TOTAL</t>
  </si>
  <si>
    <t>(blank)</t>
  </si>
  <si>
    <t>Grand Total</t>
  </si>
  <si>
    <t>Sum of Gross Salary for Tax</t>
  </si>
  <si>
    <t>Values</t>
  </si>
  <si>
    <t xml:space="preserve">Periode : </t>
  </si>
  <si>
    <t>Absence</t>
  </si>
  <si>
    <t>Location</t>
  </si>
  <si>
    <t>Bank Account</t>
  </si>
  <si>
    <t>Tax Rate (TER)</t>
  </si>
  <si>
    <t>Type of TER</t>
  </si>
  <si>
    <t>Account Holder</t>
  </si>
  <si>
    <t>Employee Name</t>
  </si>
  <si>
    <t>Sum of Net Salary</t>
  </si>
  <si>
    <t>Total</t>
  </si>
  <si>
    <t>Employee ID</t>
  </si>
  <si>
    <t>Working
Days :</t>
  </si>
  <si>
    <t>BPJS TK</t>
  </si>
  <si>
    <t>BPJS Kes</t>
  </si>
  <si>
    <t>Terdaftar</t>
  </si>
  <si>
    <t>Salary for BPJS</t>
  </si>
  <si>
    <t>Absence (Days)</t>
  </si>
  <si>
    <t>Sum of OT Days</t>
  </si>
  <si>
    <t>Sum of OT Hours</t>
  </si>
  <si>
    <t>OT Hours for Calculation</t>
  </si>
  <si>
    <t>Salary per Hour</t>
  </si>
  <si>
    <t>For Overtime Calculation</t>
  </si>
  <si>
    <t>SLIP GAJI</t>
  </si>
  <si>
    <t xml:space="preserve">Perusahaan  </t>
  </si>
  <si>
    <t>:</t>
  </si>
  <si>
    <t>Bank Penerima</t>
  </si>
  <si>
    <t>Periode</t>
  </si>
  <si>
    <t>Nama Rekening Penerima</t>
  </si>
  <si>
    <t>Karyawan</t>
  </si>
  <si>
    <t>No.Rekening Penerima</t>
  </si>
  <si>
    <t>Posisi</t>
  </si>
  <si>
    <t>ID Karyawan</t>
  </si>
  <si>
    <t>Penerimaan:</t>
  </si>
  <si>
    <t>Pemotongan:</t>
  </si>
  <si>
    <t>Gaji Pokok</t>
  </si>
  <si>
    <t>Tunjangan BPJS Ketenagakerjaan (Dibayarkan Perusahaan kepada BPJS)</t>
  </si>
  <si>
    <t>Tunjangan BPJS Ketenagakerjaan</t>
  </si>
  <si>
    <t>JHT (Jaminan Hari Tua)</t>
  </si>
  <si>
    <t>JKM (Jaminan Kematian)</t>
  </si>
  <si>
    <t>JKK (Jaminan Kecelakaan Kerja)</t>
  </si>
  <si>
    <t>JP (Jaminan Pensiun)</t>
  </si>
  <si>
    <t>Tunjangan BPJS Ketenagakerjaan (Dibayarkan Karyawan kepada BPJS)</t>
  </si>
  <si>
    <t>Tunjangan BPJS Kesehatan</t>
  </si>
  <si>
    <t>Biaya Lembur</t>
  </si>
  <si>
    <t>Tunjangan Pajak (PPh 21)</t>
  </si>
  <si>
    <t>Tunjangan BPJS Kesehatan (Perusahaan)</t>
  </si>
  <si>
    <t>Tunjangan BPJS Kesehatan (Karyawan)</t>
  </si>
  <si>
    <t>Ketidakhadiran ( Sakit Tanpa SKD/Ijin/Alpha)</t>
  </si>
  <si>
    <t>Total Penerimaan</t>
  </si>
  <si>
    <t>Total Pemotongan</t>
  </si>
  <si>
    <t>Pajak PPh 21</t>
  </si>
  <si>
    <t>Total Gaji Bersih / Take Home Pay</t>
  </si>
  <si>
    <t xml:space="preserve">Ket: </t>
  </si>
  <si>
    <t>Tertanda</t>
  </si>
  <si>
    <t>Kontrak</t>
  </si>
  <si>
    <t>Departemen</t>
  </si>
  <si>
    <t>Adjustment +</t>
  </si>
  <si>
    <t>Sum of Tax</t>
  </si>
  <si>
    <t xml:space="preserve">UMR </t>
  </si>
  <si>
    <t>Potongan Lainnya</t>
  </si>
  <si>
    <t>Tunjangan Lainnya</t>
  </si>
  <si>
    <t>BPJS KESEHATAN</t>
  </si>
  <si>
    <t>Deduction Pinjaman Karyawan</t>
  </si>
  <si>
    <t>Tunjangan Transport</t>
  </si>
  <si>
    <t>Yuski Hernando</t>
  </si>
  <si>
    <t>Insentif</t>
  </si>
  <si>
    <t>PT. Kalapa Teknologi Putera</t>
  </si>
  <si>
    <t>Fakhrizal Milnawan</t>
  </si>
  <si>
    <t>Pinka Saninta</t>
  </si>
  <si>
    <t>Luthfi</t>
  </si>
  <si>
    <t>Simon Wijaya Ingratubun</t>
  </si>
  <si>
    <t>Telemarketing</t>
  </si>
  <si>
    <t>Customer Service Representative</t>
  </si>
  <si>
    <t>Teknisi Remanufacturing</t>
  </si>
  <si>
    <t>Project SKF</t>
  </si>
  <si>
    <t>Skill Allowance</t>
  </si>
  <si>
    <t>attandance Allowance</t>
  </si>
  <si>
    <t>Prorated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</si>
</sst>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09]mmmm\-yy;@"/>
    <numFmt numFmtId="168" formatCode="0\ &quot;Days&quot;"/>
    <numFmt numFmtId="169" formatCode="0.00\ &quot;Hours&quot;"/>
    <numFmt numFmtId="170" formatCode="[$-409]dd\-mmm\-yy;@"/>
    <numFmt numFmtId="171" formatCode="_-&quot;Rp&quot;* #,##0_-;\-&quot;Rp&quot;* #,##0_-;_-&quot;Rp&quot;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b/>
      <u/>
      <sz val="36"/>
      <color theme="1"/>
      <name val="Lucida Console"/>
      <family val="3"/>
    </font>
    <font>
      <sz val="11"/>
      <color theme="1"/>
      <name val="Lucida Console"/>
      <family val="3"/>
    </font>
    <font>
      <b/>
      <sz val="11"/>
      <color theme="1"/>
      <name val="Lucida Console"/>
      <family val="3"/>
    </font>
    <font>
      <b/>
      <i/>
      <sz val="11"/>
      <color theme="1"/>
      <name val="Lucida Console"/>
      <family val="3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0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1" applyNumberFormat="1" applyFont="1"/>
    <xf numFmtId="0" fontId="1" fillId="0" borderId="0" xfId="0" applyFont="1"/>
    <xf numFmtId="0" fontId="1" fillId="2" borderId="2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166" fontId="0" fillId="4" borderId="9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10" xfId="0" applyNumberFormat="1" applyFill="1" applyBorder="1" applyAlignment="1">
      <alignment horizontal="center" vertical="center"/>
    </xf>
    <xf numFmtId="9" fontId="0" fillId="4" borderId="11" xfId="0" applyNumberFormat="1" applyFill="1" applyBorder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0" fontId="0" fillId="4" borderId="11" xfId="0" applyNumberForma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166" fontId="0" fillId="4" borderId="15" xfId="0" applyNumberForma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66" fontId="0" fillId="4" borderId="17" xfId="0" applyNumberFormat="1" applyFill="1" applyBorder="1" applyAlignment="1">
      <alignment horizontal="center" vertical="center"/>
    </xf>
    <xf numFmtId="10" fontId="0" fillId="4" borderId="18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0" fontId="0" fillId="4" borderId="10" xfId="0" applyNumberFormat="1" applyFill="1" applyBorder="1" applyAlignment="1">
      <alignment horizontal="center" vertical="center"/>
    </xf>
    <xf numFmtId="166" fontId="0" fillId="0" borderId="0" xfId="0" applyNumberFormat="1"/>
    <xf numFmtId="0" fontId="1" fillId="5" borderId="0" xfId="0" applyFont="1" applyFill="1"/>
    <xf numFmtId="166" fontId="0" fillId="6" borderId="0" xfId="1" applyNumberFormat="1" applyFont="1" applyFill="1"/>
    <xf numFmtId="0" fontId="0" fillId="0" borderId="0" xfId="0" pivotButton="1"/>
    <xf numFmtId="164" fontId="0" fillId="0" borderId="0" xfId="0" applyNumberFormat="1"/>
    <xf numFmtId="0" fontId="4" fillId="0" borderId="0" xfId="0" applyFont="1" applyAlignment="1">
      <alignment horizontal="center" vertical="center"/>
    </xf>
    <xf numFmtId="10" fontId="4" fillId="0" borderId="0" xfId="2" applyNumberFormat="1" applyFont="1" applyAlignment="1">
      <alignment horizontal="center" vertical="center"/>
    </xf>
    <xf numFmtId="166" fontId="4" fillId="0" borderId="0" xfId="0" applyNumberFormat="1" applyFont="1"/>
    <xf numFmtId="166" fontId="5" fillId="5" borderId="0" xfId="1" applyNumberFormat="1" applyFont="1" applyFill="1"/>
    <xf numFmtId="0" fontId="6" fillId="0" borderId="0" xfId="0" applyFont="1" applyAlignment="1">
      <alignment horizontal="center" vertical="center"/>
    </xf>
    <xf numFmtId="166" fontId="4" fillId="0" borderId="0" xfId="1" applyNumberFormat="1" applyFont="1"/>
    <xf numFmtId="167" fontId="1" fillId="6" borderId="0" xfId="0" applyNumberFormat="1" applyFont="1" applyFill="1" applyAlignment="1">
      <alignment horizontal="center" vertical="center"/>
    </xf>
    <xf numFmtId="10" fontId="7" fillId="7" borderId="0" xfId="2" applyNumberFormat="1" applyFont="1" applyFill="1" applyAlignment="1">
      <alignment horizontal="center"/>
    </xf>
    <xf numFmtId="10" fontId="8" fillId="7" borderId="0" xfId="2" applyNumberFormat="1" applyFont="1" applyFill="1" applyAlignment="1">
      <alignment horizontal="center"/>
    </xf>
    <xf numFmtId="0" fontId="1" fillId="0" borderId="0" xfId="0" applyFont="1" applyAlignment="1">
      <alignment vertical="center" wrapText="1"/>
    </xf>
    <xf numFmtId="168" fontId="1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8" fontId="0" fillId="6" borderId="0" xfId="0" applyNumberFormat="1" applyFill="1" applyAlignment="1">
      <alignment horizontal="center" vertical="center"/>
    </xf>
    <xf numFmtId="169" fontId="0" fillId="6" borderId="0" xfId="0" applyNumberFormat="1" applyFill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6" fontId="4" fillId="0" borderId="0" xfId="1" applyNumberFormat="1" applyFont="1" applyFill="1"/>
    <xf numFmtId="10" fontId="11" fillId="0" borderId="0" xfId="2" applyNumberFormat="1" applyFont="1" applyBorder="1" applyAlignment="1">
      <alignment horizontal="center" vertical="center"/>
    </xf>
    <xf numFmtId="10" fontId="10" fillId="0" borderId="0" xfId="2" applyNumberFormat="1" applyFont="1" applyBorder="1" applyAlignment="1">
      <alignment horizontal="center" vertical="center"/>
    </xf>
    <xf numFmtId="44" fontId="10" fillId="8" borderId="0" xfId="2" quotePrefix="1" applyNumberFormat="1" applyFont="1" applyFill="1" applyBorder="1" applyAlignment="1">
      <alignment horizontal="center" vertical="center"/>
    </xf>
    <xf numFmtId="10" fontId="10" fillId="0" borderId="0" xfId="2" quotePrefix="1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10" fontId="11" fillId="8" borderId="0" xfId="2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10" fillId="8" borderId="0" xfId="0" applyFont="1" applyFill="1" applyAlignment="1">
      <alignment vertical="center"/>
    </xf>
    <xf numFmtId="17" fontId="10" fillId="8" borderId="0" xfId="0" applyNumberFormat="1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4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44" fontId="10" fillId="8" borderId="0" xfId="0" applyNumberFormat="1" applyFont="1" applyFill="1" applyAlignment="1">
      <alignment vertical="center"/>
    </xf>
    <xf numFmtId="0" fontId="11" fillId="8" borderId="0" xfId="0" applyFont="1" applyFill="1" applyAlignment="1">
      <alignment vertical="center"/>
    </xf>
    <xf numFmtId="44" fontId="11" fillId="8" borderId="0" xfId="0" applyNumberFormat="1" applyFont="1" applyFill="1" applyAlignment="1">
      <alignment vertical="center"/>
    </xf>
    <xf numFmtId="42" fontId="11" fillId="8" borderId="0" xfId="0" applyNumberFormat="1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42" fontId="11" fillId="0" borderId="0" xfId="0" applyNumberFormat="1" applyFont="1" applyAlignment="1">
      <alignment vertical="center"/>
    </xf>
    <xf numFmtId="0" fontId="10" fillId="8" borderId="0" xfId="0" applyFont="1" applyFill="1" applyAlignment="1">
      <alignment horizontal="left" vertical="center"/>
    </xf>
    <xf numFmtId="170" fontId="0" fillId="0" borderId="0" xfId="0" applyNumberFormat="1"/>
    <xf numFmtId="0" fontId="13" fillId="0" borderId="0" xfId="0" applyFont="1"/>
    <xf numFmtId="0" fontId="14" fillId="0" borderId="0" xfId="0" applyFont="1"/>
    <xf numFmtId="0" fontId="0" fillId="0" borderId="0" xfId="0" quotePrefix="1"/>
    <xf numFmtId="166" fontId="4" fillId="10" borderId="0" xfId="1" applyNumberFormat="1" applyFont="1" applyFill="1"/>
    <xf numFmtId="171" fontId="11" fillId="9" borderId="0" xfId="0" applyNumberFormat="1" applyFont="1" applyFill="1" applyAlignment="1">
      <alignment vertical="center"/>
    </xf>
    <xf numFmtId="166" fontId="0" fillId="0" borderId="0" xfId="1" applyNumberFormat="1" applyFont="1" applyFill="1"/>
    <xf numFmtId="10" fontId="4" fillId="0" borderId="0" xfId="2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6" fontId="0" fillId="11" borderId="0" xfId="1" applyNumberFormat="1" applyFont="1" applyFill="1"/>
    <xf numFmtId="0" fontId="15" fillId="0" borderId="0" xfId="0" applyFont="1"/>
    <xf numFmtId="166" fontId="15" fillId="0" borderId="0" xfId="1" applyNumberFormat="1" applyFont="1" applyFill="1"/>
    <xf numFmtId="166" fontId="15" fillId="0" borderId="0" xfId="1" applyNumberFormat="1" applyFont="1"/>
    <xf numFmtId="166" fontId="16" fillId="0" borderId="0" xfId="1" applyNumberFormat="1" applyFont="1"/>
    <xf numFmtId="44" fontId="0" fillId="0" borderId="0" xfId="0" applyNumberFormat="1"/>
    <xf numFmtId="0" fontId="1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166" fontId="0" fillId="10" borderId="0" xfId="1" applyNumberFormat="1" applyFont="1" applyFill="1"/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6"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</dxfs>
  <tableStyles count="0" defaultTableStyle="TableStyleMedium9" defaultPivotStyle="PivotStyleLight16"/>
  <colors>
    <mruColors>
      <color rgb="FF0000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sca Dwi" refreshedDate="46134.7912818287" createdVersion="6" refreshedVersion="6" minRefreshableVersion="3" recordCount="14" xr:uid="{00000000-000A-0000-FFFF-FFFF0A000000}">
  <cacheSource type="worksheet">
    <worksheetSource ref="A5:AV16" sheet="Salary"/>
  </cacheSource>
  <cacheFields count="47">
    <cacheField name="No" numFmtId="0">
      <sharedItems containsString="0" containsBlank="1" containsNumber="1" containsInteger="1" minValue="1" maxValue="7"/>
    </cacheField>
    <cacheField name="Employee Name" numFmtId="0">
      <sharedItems containsBlank="1" count="15">
        <s v="Yuski Hernando"/>
        <s v="Rizki Denoputra Manonangger"/>
        <s v="Rizky Zulkifly"/>
        <s v="Ridho A. Pane"/>
        <s v="Bustami"/>
        <s v="Teguh Santoso Hartono"/>
        <s v="Budiarto Saha"/>
        <m/>
        <s v="Ahmad Rivai" u="1"/>
        <s v="Salinih" u="1"/>
        <s v="Pandu Ganesha" u="1"/>
        <s v="Nuraini Krisnanto" u="1"/>
        <s v="Windy Sagitaniar" u="1"/>
        <s v="R. Indra Firmansyah" u="1"/>
        <s v="Sardani" u="1"/>
      </sharedItems>
    </cacheField>
    <cacheField name="Employee ID" numFmtId="0">
      <sharedItems containsNonDate="0" containsString="0" containsBlank="1"/>
    </cacheField>
    <cacheField name="KTP ID" numFmtId="0">
      <sharedItems containsBlank="1" containsMixedTypes="1" containsNumber="1" containsInteger="1" minValue="20251301393" maxValue="20251301393" count="8">
        <n v="20251301393"/>
        <s v="202509093100"/>
        <s v="202521093101"/>
        <s v="202521093104"/>
        <s v="2025111193105"/>
        <s v="2025011293107"/>
        <s v="2026010493018"/>
        <m/>
      </sharedItems>
    </cacheField>
    <cacheField name="Gov Tax File No" numFmtId="0">
      <sharedItems containsNonDate="0" containsBlank="1" count="8">
        <m/>
        <s v="6171 0414 0284 0002" u="1"/>
        <s v="3201025508700004" u="1"/>
        <s v="93.474.567.0-403.000" u="1"/>
        <s v="3201025508700000" u="1"/>
        <s v="67.054.545.8-404.000" u="1"/>
        <s v="73.077.484.1-409.000" u="1"/>
        <s v="87.449.732.4-432.000" u="1"/>
      </sharedItems>
    </cacheField>
    <cacheField name="Position" numFmtId="0">
      <sharedItems containsBlank="1" count="6">
        <s v="Project Payfazz"/>
        <m/>
        <s v="Staff" u="1"/>
        <s v="Manager" u="1"/>
        <s v="Director" u="1"/>
        <s v="Non-Staff" u="1"/>
      </sharedItems>
    </cacheField>
    <cacheField name="Department" numFmtId="0">
      <sharedItems containsBlank="1"/>
    </cacheField>
    <cacheField name="Employment Status" numFmtId="0">
      <sharedItems containsBlank="1"/>
    </cacheField>
    <cacheField name="Join Date" numFmtId="170">
      <sharedItems containsDate="1" containsBlank="1" containsMixedTypes="1" minDate="2025-01-13T00:00:00" maxDate="2026-04-02T00:00:00"/>
    </cacheField>
    <cacheField name="Terminate Date" numFmtId="0">
      <sharedItems containsNonDate="0" containsString="0" containsBlank="1"/>
    </cacheField>
    <cacheField name="Length Of Service" numFmtId="0">
      <sharedItems containsNonDate="0" containsString="0" containsBlank="1"/>
    </cacheField>
    <cacheField name="Basic Salary" numFmtId="166">
      <sharedItems containsString="0" containsBlank="1" containsNumber="1" containsInteger="1" minValue="2433254" maxValue="5357982"/>
    </cacheField>
    <cacheField name="JKM" numFmtId="0">
      <sharedItems containsString="0" containsBlank="1" containsNumber="1" minValue="7299.7619999999997" maxValue="16073.946"/>
    </cacheField>
    <cacheField name="JKK" numFmtId="166">
      <sharedItems containsString="0" containsBlank="1" containsNumber="1" minValue="5839.8095999999996" maxValue="12859.156799999999"/>
    </cacheField>
    <cacheField name="JHT Company" numFmtId="166">
      <sharedItems containsString="0" containsBlank="1" containsNumber="1" minValue="90030.398000000001" maxValue="198245.334"/>
    </cacheField>
    <cacheField name="JP Company" numFmtId="166">
      <sharedItems containsString="0" containsBlank="1" containsNumber="1" minValue="48665.08" maxValue="107159.64"/>
    </cacheField>
    <cacheField name="BPJS Company" numFmtId="166">
      <sharedItems containsString="0" containsBlank="1" containsNumber="1" minValue="97330.16" maxValue="214319.28"/>
    </cacheField>
    <cacheField name="Adjustment +" numFmtId="166">
      <sharedItems containsNonDate="0" containsString="0" containsBlank="1"/>
    </cacheField>
    <cacheField name="Transport Allowance" numFmtId="166">
      <sharedItems containsString="0" containsBlank="1" containsNumber="1" containsInteger="1" minValue="135000" maxValue="600000"/>
    </cacheField>
    <cacheField name="Vehiche Rent" numFmtId="166">
      <sharedItems containsString="0" containsBlank="1" containsNumber="1" containsInteger="1" minValue="285714" maxValue="500000"/>
    </cacheField>
    <cacheField name="Meal Allowance" numFmtId="166">
      <sharedItems containsString="0" containsBlank="1" containsNumber="1" containsInteger="1" minValue="214286" maxValue="375000"/>
    </cacheField>
    <cacheField name="Tax Allowance" numFmtId="166">
      <sharedItems containsNonDate="0" containsString="0" containsBlank="1"/>
    </cacheField>
    <cacheField name="Insentif" numFmtId="166">
      <sharedItems containsString="0" containsBlank="1" containsNumber="1" containsInteger="1" minValue="0" maxValue="2300000"/>
    </cacheField>
    <cacheField name="Total Income" numFmtId="166">
      <sharedItems containsString="0" containsBlank="1" containsNumber="1" minValue="3317419.2096000002" maxValue="9634239.3568000011"/>
    </cacheField>
    <cacheField name="JKM2" numFmtId="166">
      <sharedItems containsString="0" containsBlank="1" containsNumber="1" minValue="7299.7619999999997" maxValue="16073.946"/>
    </cacheField>
    <cacheField name="JKK2" numFmtId="166">
      <sharedItems containsString="0" containsBlank="1" containsNumber="1" minValue="5839.8095999999996" maxValue="12859.156799999999"/>
    </cacheField>
    <cacheField name="JHT Employee" numFmtId="166">
      <sharedItems containsString="0" containsBlank="1" containsNumber="1" minValue="48665.08" maxValue="107159.64"/>
    </cacheField>
    <cacheField name="JHT Company2" numFmtId="166">
      <sharedItems containsString="0" containsBlank="1" containsNumber="1" minValue="90030.398000000001" maxValue="198245.334"/>
    </cacheField>
    <cacheField name="JP Company2" numFmtId="166">
      <sharedItems containsString="0" containsBlank="1" containsNumber="1" minValue="48665.08" maxValue="107159.64"/>
    </cacheField>
    <cacheField name="JP Employee" numFmtId="166">
      <sharedItems containsString="0" containsBlank="1" containsNumber="1" minValue="24332.54" maxValue="53579.82"/>
    </cacheField>
    <cacheField name="BPJS Company2" numFmtId="166">
      <sharedItems containsString="0" containsBlank="1" containsNumber="1" minValue="97330.16" maxValue="214319.28"/>
    </cacheField>
    <cacheField name="BPJS Employee" numFmtId="166">
      <sharedItems containsString="0" containsBlank="1" containsNumber="1" minValue="24332.54" maxValue="53579.82"/>
    </cacheField>
    <cacheField name="Absence" numFmtId="166">
      <sharedItems containsString="0" containsBlank="1" containsNumber="1" minValue="0" maxValue="1124543.5714285714"/>
    </cacheField>
    <cacheField name="Cut-Off" numFmtId="166">
      <sharedItems containsString="0" containsBlank="1" containsNumber="1" containsInteger="1" minValue="0" maxValue="0"/>
    </cacheField>
    <cacheField name="Total Deduction" numFmtId="166">
      <sharedItems containsString="0" containsBlank="1" containsNumber="1" minValue="541527.54879999999" maxValue="1871840.2594285714"/>
    </cacheField>
    <cacheField name="Tax" numFmtId="166">
      <sharedItems containsString="0" containsBlank="1" containsNumber="1" containsInteger="1" minValue="0" maxValue="163254"/>
    </cacheField>
    <cacheField name="Tax Penalty" numFmtId="166">
      <sharedItems containsNonDate="0" containsString="0" containsBlank="1"/>
    </cacheField>
    <cacheField name="Net Salary" numFmtId="166">
      <sharedItems containsString="0" containsBlank="1" containsNumber="1" minValue="1928100.6971428571" maxValue="8708008.7200000007"/>
    </cacheField>
    <cacheField name="Bank" numFmtId="0">
      <sharedItems containsNonDate="0" containsBlank="1" count="3">
        <m/>
        <s v="MANDIRI" u="1"/>
        <s v="BCA" u="1"/>
      </sharedItems>
    </cacheField>
    <cacheField name="Location" numFmtId="0">
      <sharedItems containsNonDate="0" containsString="0" containsBlank="1"/>
    </cacheField>
    <cacheField name="Account Holder" numFmtId="0">
      <sharedItems containsNonDate="0" containsBlank="1" count="8">
        <m/>
        <s v="AHMAD RIVAI" u="1"/>
        <s v="SALINIH" u="1"/>
        <s v="PANDU GANESHA" u="1"/>
        <s v="NURAINI KRISNANTO" u="1"/>
        <s v="WINDY SAGITANIAR" u="1"/>
        <s v="R. INDRA FIRMANSYAH" u="1"/>
        <s v="SARDANI" u="1"/>
      </sharedItems>
    </cacheField>
    <cacheField name="Bank Account" numFmtId="0">
      <sharedItems containsNonDate="0" containsString="0" containsBlank="1" containsNumber="1" containsInteger="1" minValue="4270524937" maxValue="8720864666" count="6">
        <m/>
        <n v="8720864666" u="1"/>
        <n v="5681587012" u="1"/>
        <n v="4270524937" u="1"/>
        <n v="5221745851" u="1"/>
        <n v="5735140717" u="1"/>
      </sharedItems>
    </cacheField>
    <cacheField name="Tax Status" numFmtId="0">
      <sharedItems containsBlank="1" count="3">
        <s v="TK/0"/>
        <m/>
        <s v="K/2" u="1"/>
      </sharedItems>
    </cacheField>
    <cacheField name="Type of TER" numFmtId="0">
      <sharedItems containsBlank="1"/>
    </cacheField>
    <cacheField name="Tax Rate (TER)" numFmtId="10">
      <sharedItems containsString="0" containsBlank="1" containsNumber="1" minValue="0" maxValue="1.7500000000000002E-2"/>
    </cacheField>
    <cacheField name="PPh 21 TER" numFmtId="166">
      <sharedItems containsString="0" containsBlank="1" containsNumber="1" containsInteger="1" minValue="0" maxValue="163254"/>
    </cacheField>
    <cacheField name="Gross Salary for Tax" numFmtId="166">
      <sharedItems containsString="0" containsBlank="1" containsNumber="1" minValue="2135900.5887428569" maxValue="9328834.3827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x v="0"/>
    <m/>
    <x v="0"/>
    <x v="0"/>
    <x v="0"/>
    <s v="Account Executive"/>
    <s v="Kontrak"/>
    <d v="2025-01-13T00:00:00"/>
    <m/>
    <m/>
    <n v="5247870"/>
    <n v="15743.61"/>
    <n v="12594.887999999999"/>
    <n v="194171.19"/>
    <n v="104957.40000000001"/>
    <n v="209914.80000000002"/>
    <m/>
    <n v="251700"/>
    <n v="392857"/>
    <n v="294643"/>
    <m/>
    <n v="1300000"/>
    <n v="8024451.8880000012"/>
    <n v="15743.61"/>
    <n v="12594.887999999999"/>
    <n v="104957.40000000001"/>
    <n v="194171.19"/>
    <n v="104957.40000000001"/>
    <n v="52478.700000000004"/>
    <n v="209914.80000000002"/>
    <n v="52478.700000000004"/>
    <n v="1124543.5714285714"/>
    <m/>
    <n v="1871840.2594285714"/>
    <n v="66007"/>
    <m/>
    <n v="6086604.6285714302"/>
    <x v="0"/>
    <m/>
    <x v="0"/>
    <x v="0"/>
    <x v="0"/>
    <s v="TER A"/>
    <n v="0.01"/>
    <n v="66007"/>
    <n v="6600779.7265714295"/>
  </r>
  <r>
    <n v="2"/>
    <x v="1"/>
    <m/>
    <x v="1"/>
    <x v="0"/>
    <x v="0"/>
    <s v="Sales Executive"/>
    <s v="Kontrak"/>
    <s v="14 Maret 2026"/>
    <m/>
    <m/>
    <n v="5288796"/>
    <n v="15866.388000000001"/>
    <n v="12693.1104"/>
    <n v="195685.45199999999"/>
    <n v="105775.92"/>
    <n v="211551.84"/>
    <m/>
    <n v="416400"/>
    <n v="482143"/>
    <n v="361607"/>
    <m/>
    <n v="1600000"/>
    <n v="8690518.7104000002"/>
    <n v="15866.388000000001"/>
    <n v="12693.1104"/>
    <n v="105775.92"/>
    <n v="195685.45199999999"/>
    <n v="105775.92"/>
    <n v="52887.96"/>
    <n v="211551.84"/>
    <n v="52887.96"/>
    <n v="188885.57142857183"/>
    <m/>
    <n v="942010.12182857178"/>
    <n v="123002"/>
    <m/>
    <n v="7625506.5885714283"/>
    <x v="0"/>
    <m/>
    <x v="0"/>
    <x v="0"/>
    <x v="0"/>
    <s v="TER A"/>
    <n v="1.4999999999999999E-2"/>
    <n v="123002"/>
    <n v="8200171.7669714289"/>
  </r>
  <r>
    <n v="3"/>
    <x v="2"/>
    <m/>
    <x v="2"/>
    <x v="0"/>
    <x v="0"/>
    <s v="Sales Executive"/>
    <s v="Kontrak"/>
    <d v="2025-09-21T00:00:00"/>
    <m/>
    <m/>
    <n v="3802862"/>
    <n v="11408.585999999999"/>
    <n v="9126.8687999999984"/>
    <n v="140705.894"/>
    <n v="76057.240000000005"/>
    <n v="152114.48000000001"/>
    <m/>
    <n v="600000"/>
    <n v="500000"/>
    <n v="375000"/>
    <m/>
    <n v="1650000"/>
    <n v="7317275.0688000005"/>
    <n v="11408.585999999999"/>
    <n v="9126.8687999999984"/>
    <n v="76057.240000000005"/>
    <n v="140705.894"/>
    <n v="76057.240000000005"/>
    <n v="38028.620000000003"/>
    <n v="152114.48000000001"/>
    <n v="38028.620000000003"/>
    <n v="0"/>
    <m/>
    <n v="541527.54879999999"/>
    <n v="88756"/>
    <m/>
    <n v="6686991.5200000005"/>
    <x v="0"/>
    <m/>
    <x v="0"/>
    <x v="0"/>
    <x v="0"/>
    <s v="TER A"/>
    <n v="1.2500000000000001E-2"/>
    <n v="88756"/>
    <n v="7100511.9347999999"/>
  </r>
  <r>
    <n v="4"/>
    <x v="3"/>
    <m/>
    <x v="3"/>
    <x v="0"/>
    <x v="0"/>
    <s v="Sales Executive"/>
    <s v="Kontrak"/>
    <d v="2025-11-10T00:00:00"/>
    <m/>
    <m/>
    <n v="3219609"/>
    <n v="9658.8269999999993"/>
    <n v="7727.0615999999991"/>
    <n v="119125.533"/>
    <n v="64392.18"/>
    <n v="128784.36"/>
    <m/>
    <n v="398400"/>
    <n v="482143"/>
    <n v="361607"/>
    <m/>
    <n v="1300000"/>
    <n v="6091446.9616"/>
    <n v="9658.8269999999993"/>
    <n v="7727.0615999999991"/>
    <n v="64392.18"/>
    <n v="119125.533"/>
    <n v="64392.18"/>
    <n v="32196.09"/>
    <n v="128784.36"/>
    <n v="32196.09"/>
    <n v="114986.03571428591"/>
    <n v="0"/>
    <n v="573458.35731428594"/>
    <n v="28964"/>
    <m/>
    <n v="5489024.6042857142"/>
    <x v="0"/>
    <m/>
    <x v="0"/>
    <x v="0"/>
    <x v="0"/>
    <s v="TER A"/>
    <n v="5.0000000000000001E-3"/>
    <n v="28964"/>
    <n v="5792943.2128857151"/>
  </r>
  <r>
    <n v="5"/>
    <x v="4"/>
    <m/>
    <x v="4"/>
    <x v="0"/>
    <x v="0"/>
    <s v="Sales Executive"/>
    <s v="Kontrak"/>
    <s v="1 Desember 2025"/>
    <m/>
    <m/>
    <n v="5357982"/>
    <n v="16073.946"/>
    <n v="12859.156799999999"/>
    <n v="198245.334"/>
    <n v="107159.64"/>
    <n v="214319.28"/>
    <m/>
    <n v="552600"/>
    <n v="500000"/>
    <n v="375000"/>
    <m/>
    <n v="2300000"/>
    <n v="9634239.3568000011"/>
    <n v="16073.946"/>
    <n v="12859.156799999999"/>
    <n v="107159.64"/>
    <n v="198245.334"/>
    <n v="107159.64"/>
    <n v="53579.82"/>
    <n v="214319.28"/>
    <n v="53579.82"/>
    <n v="0"/>
    <m/>
    <n v="762976.63679999998"/>
    <n v="163254"/>
    <m/>
    <n v="8708008.7200000007"/>
    <x v="0"/>
    <m/>
    <x v="0"/>
    <x v="0"/>
    <x v="0"/>
    <s v="TER A"/>
    <n v="1.7500000000000002E-2"/>
    <n v="163254"/>
    <n v="9328834.3827999998"/>
  </r>
  <r>
    <n v="6"/>
    <x v="5"/>
    <m/>
    <x v="5"/>
    <x v="0"/>
    <x v="0"/>
    <s v="Sales Executive"/>
    <s v="Kontrak"/>
    <s v="1 Desember 2025"/>
    <m/>
    <m/>
    <n v="3868963"/>
    <n v="11606.889000000001"/>
    <n v="9285.511199999999"/>
    <n v="143151.63099999999"/>
    <n v="77379.259999999995"/>
    <n v="154758.51999999999"/>
    <m/>
    <n v="600000"/>
    <n v="500000"/>
    <n v="375000"/>
    <m/>
    <n v="1450000"/>
    <n v="7190144.8111999994"/>
    <n v="11606.889000000001"/>
    <n v="9285.511199999999"/>
    <n v="77379.259999999995"/>
    <n v="143151.63099999999"/>
    <n v="77379.259999999995"/>
    <n v="38689.629999999997"/>
    <n v="154758.51999999999"/>
    <n v="38689.629999999997"/>
    <n v="0"/>
    <m/>
    <n v="550940.33120000002"/>
    <n v="87120"/>
    <m/>
    <n v="6552084.4799999995"/>
    <x v="0"/>
    <m/>
    <x v="0"/>
    <x v="0"/>
    <x v="0"/>
    <s v="TER A"/>
    <n v="1.2500000000000001E-2"/>
    <n v="87120"/>
    <n v="6969613.9201999996"/>
  </r>
  <r>
    <n v="7"/>
    <x v="6"/>
    <m/>
    <x v="6"/>
    <x v="0"/>
    <x v="0"/>
    <s v="Sales Executive"/>
    <s v="Kontrak"/>
    <d v="2026-04-01T00:00:00"/>
    <m/>
    <m/>
    <n v="2433254"/>
    <n v="7299.7619999999997"/>
    <n v="5839.8095999999996"/>
    <n v="90030.398000000001"/>
    <n v="48665.08"/>
    <n v="97330.16"/>
    <m/>
    <n v="135000"/>
    <n v="285714"/>
    <n v="214286"/>
    <m/>
    <n v="0"/>
    <n v="3317419.2096000002"/>
    <n v="7299.7619999999997"/>
    <n v="5839.8095999999996"/>
    <n v="48665.08"/>
    <n v="90030.398000000001"/>
    <n v="48665.08"/>
    <n v="24332.54"/>
    <n v="97330.16"/>
    <n v="24332.54"/>
    <n v="1042823.142857143"/>
    <m/>
    <n v="1389318.512457143"/>
    <n v="0"/>
    <m/>
    <n v="1928100.6971428571"/>
    <x v="0"/>
    <m/>
    <x v="0"/>
    <x v="0"/>
    <x v="0"/>
    <s v="TER A"/>
    <n v="0"/>
    <n v="0"/>
    <n v="2135900.5887428569"/>
  </r>
  <r>
    <m/>
    <x v="7"/>
    <m/>
    <x v="7"/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  <x v="0"/>
    <x v="1"/>
    <m/>
    <m/>
    <m/>
    <m/>
  </r>
  <r>
    <m/>
    <x v="7"/>
    <m/>
    <x v="7"/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  <x v="0"/>
    <x v="1"/>
    <m/>
    <m/>
    <m/>
    <m/>
  </r>
  <r>
    <m/>
    <x v="7"/>
    <m/>
    <x v="7"/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  <x v="0"/>
    <x v="1"/>
    <m/>
    <m/>
    <m/>
    <m/>
  </r>
  <r>
    <m/>
    <x v="7"/>
    <m/>
    <x v="7"/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  <x v="0"/>
    <x v="1"/>
    <m/>
    <m/>
    <m/>
    <m/>
  </r>
  <r>
    <m/>
    <x v="7"/>
    <m/>
    <x v="7"/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  <x v="0"/>
    <x v="1"/>
    <m/>
    <m/>
    <m/>
    <m/>
  </r>
  <r>
    <m/>
    <x v="7"/>
    <m/>
    <x v="7"/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  <x v="0"/>
    <x v="1"/>
    <m/>
    <m/>
    <m/>
    <m/>
  </r>
  <r>
    <m/>
    <x v="7"/>
    <m/>
    <x v="7"/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x v="0"/>
    <x v="0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gridDropZones="1" multipleFieldFilters="0">
  <location ref="A6:D8" firstHeaderRow="2" firstDataRow="2" firstDataCol="3"/>
  <pivotFields count="47"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m="1" x="2"/>
        <item m="1" x="1"/>
        <item h="1" x="0"/>
        <item t="default"/>
      </items>
    </pivotField>
    <pivotField compact="0" outline="0" showAll="0"/>
    <pivotField axis="axisRow" compact="0" outline="0" showAll="0" defaultSubtotal="0">
      <items count="8">
        <item x="0"/>
        <item m="1" x="5"/>
        <item m="1" x="6"/>
        <item m="1" x="1"/>
        <item m="1" x="7"/>
        <item m="1" x="2"/>
        <item m="1" x="4"/>
        <item m="1" x="3"/>
      </items>
    </pivotField>
    <pivotField axis="axisRow" compact="0" outline="0" showAll="0" defaultSubtotal="0">
      <items count="6">
        <item m="1" x="4"/>
        <item m="1" x="5"/>
        <item m="1" x="1"/>
        <item m="1" x="3"/>
        <item m="1" x="2"/>
        <item x="0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</pivotFields>
  <rowFields count="3">
    <field x="38"/>
    <field x="41"/>
    <field x="40"/>
  </rowFields>
  <rowItems count="1">
    <i t="grand">
      <x/>
    </i>
  </rowItems>
  <colItems count="1">
    <i/>
  </colItems>
  <dataFields count="1">
    <dataField name="Sum of Net Salary" fld="37" baseField="39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6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gridDropZones="1" multipleFieldFilters="0">
  <location ref="A6:G9" firstHeaderRow="1" firstDataRow="2" firstDataCol="5"/>
  <pivotFields count="47">
    <pivotField compact="0" outline="0" showAll="0"/>
    <pivotField axis="axisRow" compact="0" outline="0" showAll="0" defaultSubtotal="0">
      <items count="15">
        <item x="7"/>
        <item m="1" x="12"/>
        <item m="1" x="13"/>
        <item m="1" x="8"/>
        <item m="1" x="14"/>
        <item m="1" x="9"/>
        <item m="1" x="11"/>
        <item m="1" x="10"/>
        <item x="0"/>
        <item x="1"/>
        <item x="2"/>
        <item x="3"/>
        <item x="4"/>
        <item x="5"/>
        <item x="6"/>
      </items>
    </pivotField>
    <pivotField compact="0" outline="0" showAll="0"/>
    <pivotField axis="axisRow" compact="0" outline="0" showAll="0" defaultSubtotal="0">
      <items count="8">
        <item x="7"/>
        <item h="1" x="0"/>
        <item h="1" x="1"/>
        <item h="1" x="2"/>
        <item h="1" x="3"/>
        <item h="1" x="4"/>
        <item h="1" x="5"/>
        <item h="1" x="6"/>
      </items>
    </pivotField>
    <pivotField axis="axisRow" compact="0" outline="0" showAll="0" defaultSubtotal="0">
      <items count="8">
        <item x="0"/>
        <item m="1" x="6"/>
        <item m="1" x="5"/>
        <item m="1" x="3"/>
        <item m="1" x="4"/>
        <item m="1" x="7"/>
        <item m="1" x="2"/>
        <item m="1" x="1"/>
      </items>
    </pivotField>
    <pivotField axis="axisRow" compact="0" outline="0" showAll="0" defaultSubtotal="0">
      <items count="6">
        <item x="1"/>
        <item m="1" x="2"/>
        <item m="1" x="5"/>
        <item m="1" x="4"/>
        <item m="1" x="3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">
        <item x="0"/>
        <item x="1"/>
        <item m="1" x="2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5">
    <field x="3"/>
    <field x="4"/>
    <field x="1"/>
    <field x="42"/>
    <field x="5"/>
  </rowFields>
  <rowItems count="2">
    <i>
      <x/>
      <x/>
      <x/>
      <x v="1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Salary for Tax" fld="46" baseField="3" baseItem="0" numFmtId="164"/>
    <dataField name="Sum of Tax" fld="35" baseField="5" baseItem="7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5"/>
  <sheetViews>
    <sheetView workbookViewId="0">
      <selection activeCell="A3" sqref="A3"/>
    </sheetView>
  </sheetViews>
  <sheetFormatPr defaultRowHeight="14.5" x14ac:dyDescent="0.35"/>
  <cols>
    <col min="1" max="1" width="10.54296875" bestFit="1" customWidth="1"/>
    <col min="2" max="2" width="13.36328125" bestFit="1" customWidth="1"/>
    <col min="3" max="3" width="16.08984375" bestFit="1" customWidth="1"/>
    <col min="4" max="4" width="17.7265625" bestFit="1" customWidth="1"/>
    <col min="5" max="5" width="22.7265625" bestFit="1" customWidth="1"/>
    <col min="6" max="6" width="15.36328125" bestFit="1" customWidth="1"/>
    <col min="7" max="7" width="15.36328125" customWidth="1"/>
    <col min="8" max="8" width="16.08984375" bestFit="1" customWidth="1"/>
    <col min="9" max="9" width="25.81640625" bestFit="1" customWidth="1"/>
  </cols>
  <sheetData>
    <row r="1" spans="1:9" x14ac:dyDescent="0.35">
      <c r="C1" t="s">
        <v>48</v>
      </c>
    </row>
    <row r="2" spans="1:9" x14ac:dyDescent="0.35">
      <c r="A2" s="1" t="s">
        <v>0</v>
      </c>
      <c r="B2" s="1" t="s">
        <v>41</v>
      </c>
      <c r="C2" s="1" t="s">
        <v>32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</row>
    <row r="3" spans="1:9" x14ac:dyDescent="0.35">
      <c r="A3" t="s">
        <v>1</v>
      </c>
      <c r="B3" s="2"/>
      <c r="C3" s="2">
        <v>0</v>
      </c>
      <c r="D3" s="2">
        <v>0</v>
      </c>
      <c r="E3" s="2">
        <v>0</v>
      </c>
      <c r="F3" s="2">
        <v>0</v>
      </c>
      <c r="G3" s="2"/>
      <c r="H3" s="2">
        <f t="shared" ref="H3:H15" si="0">SUM(B3:F3)</f>
        <v>0</v>
      </c>
      <c r="I3" s="2" t="s">
        <v>14</v>
      </c>
    </row>
    <row r="4" spans="1:9" x14ac:dyDescent="0.35">
      <c r="A4" t="s">
        <v>2</v>
      </c>
      <c r="B4" s="2"/>
      <c r="C4" s="2">
        <v>0</v>
      </c>
      <c r="D4" s="2">
        <v>0</v>
      </c>
      <c r="E4" s="2">
        <v>0</v>
      </c>
      <c r="F4" s="2">
        <v>0</v>
      </c>
      <c r="G4" s="2"/>
      <c r="H4" s="2">
        <f t="shared" si="0"/>
        <v>0</v>
      </c>
      <c r="I4" s="2" t="s">
        <v>14</v>
      </c>
    </row>
    <row r="5" spans="1:9" x14ac:dyDescent="0.35">
      <c r="A5" t="s">
        <v>3</v>
      </c>
      <c r="B5" s="2"/>
      <c r="C5" s="2">
        <v>0</v>
      </c>
      <c r="D5" s="2">
        <v>0</v>
      </c>
      <c r="E5" s="2">
        <v>0</v>
      </c>
      <c r="F5" s="2">
        <v>0</v>
      </c>
      <c r="G5" s="2"/>
      <c r="H5" s="2">
        <f t="shared" si="0"/>
        <v>0</v>
      </c>
      <c r="I5" s="2" t="s">
        <v>14</v>
      </c>
    </row>
    <row r="6" spans="1:9" x14ac:dyDescent="0.35">
      <c r="A6" t="s">
        <v>4</v>
      </c>
      <c r="B6" s="2"/>
      <c r="C6" s="2">
        <v>0</v>
      </c>
      <c r="D6" s="2">
        <v>0</v>
      </c>
      <c r="E6" s="2">
        <v>0</v>
      </c>
      <c r="F6" s="2">
        <v>0</v>
      </c>
      <c r="G6" s="2"/>
      <c r="H6" s="2">
        <f t="shared" si="0"/>
        <v>0</v>
      </c>
      <c r="I6" s="2" t="s">
        <v>14</v>
      </c>
    </row>
    <row r="7" spans="1:9" x14ac:dyDescent="0.35">
      <c r="A7" t="s">
        <v>5</v>
      </c>
      <c r="B7" s="2"/>
      <c r="C7" s="2">
        <v>0</v>
      </c>
      <c r="D7" s="2">
        <v>0</v>
      </c>
      <c r="E7" s="2">
        <v>0</v>
      </c>
      <c r="F7" s="2">
        <v>0</v>
      </c>
      <c r="G7" s="2"/>
      <c r="H7" s="2">
        <f t="shared" si="0"/>
        <v>0</v>
      </c>
      <c r="I7" s="2" t="s">
        <v>15</v>
      </c>
    </row>
    <row r="8" spans="1:9" x14ac:dyDescent="0.35">
      <c r="A8" t="s">
        <v>6</v>
      </c>
      <c r="B8" s="2"/>
      <c r="C8" s="2">
        <v>0</v>
      </c>
      <c r="D8" s="2">
        <v>0</v>
      </c>
      <c r="E8" s="2">
        <v>0</v>
      </c>
      <c r="F8" s="2">
        <v>0</v>
      </c>
      <c r="G8" s="2"/>
      <c r="H8" s="2">
        <f t="shared" si="0"/>
        <v>0</v>
      </c>
      <c r="I8" s="2" t="s">
        <v>15</v>
      </c>
    </row>
    <row r="9" spans="1:9" x14ac:dyDescent="0.35">
      <c r="A9" t="s">
        <v>7</v>
      </c>
      <c r="B9" s="2"/>
      <c r="C9" s="2">
        <v>0</v>
      </c>
      <c r="D9" s="2">
        <v>0</v>
      </c>
      <c r="E9" s="2">
        <v>0</v>
      </c>
      <c r="F9" s="2">
        <v>0</v>
      </c>
      <c r="G9" s="2"/>
      <c r="H9" s="2">
        <f t="shared" si="0"/>
        <v>0</v>
      </c>
      <c r="I9" s="2" t="s">
        <v>15</v>
      </c>
    </row>
    <row r="10" spans="1:9" x14ac:dyDescent="0.35">
      <c r="A10" t="s">
        <v>8</v>
      </c>
      <c r="B10" s="2"/>
      <c r="C10" s="2">
        <v>0</v>
      </c>
      <c r="D10" s="2">
        <v>0</v>
      </c>
      <c r="E10" s="2">
        <v>0</v>
      </c>
      <c r="F10" s="2">
        <v>0</v>
      </c>
      <c r="G10" s="2"/>
      <c r="H10" s="2">
        <f t="shared" si="0"/>
        <v>0</v>
      </c>
      <c r="I10" s="2" t="s">
        <v>16</v>
      </c>
    </row>
    <row r="11" spans="1:9" x14ac:dyDescent="0.35">
      <c r="A11" t="s">
        <v>9</v>
      </c>
      <c r="B11" s="2"/>
      <c r="C11" s="2">
        <v>0</v>
      </c>
      <c r="D11" s="2">
        <v>0</v>
      </c>
      <c r="E11" s="2">
        <v>0</v>
      </c>
      <c r="F11" s="2">
        <v>0</v>
      </c>
      <c r="G11" s="2"/>
      <c r="H11" s="2">
        <f t="shared" si="0"/>
        <v>0</v>
      </c>
      <c r="I11" s="2" t="s">
        <v>16</v>
      </c>
    </row>
    <row r="12" spans="1:9" x14ac:dyDescent="0.35">
      <c r="A12" t="s">
        <v>10</v>
      </c>
      <c r="B12" s="2"/>
      <c r="C12" s="2">
        <v>0</v>
      </c>
      <c r="D12" s="2">
        <v>0</v>
      </c>
      <c r="E12" s="2">
        <v>0</v>
      </c>
      <c r="F12" s="2">
        <v>0</v>
      </c>
      <c r="G12" s="2"/>
      <c r="H12" s="2">
        <f t="shared" si="0"/>
        <v>0</v>
      </c>
      <c r="I12" s="2" t="s">
        <v>16</v>
      </c>
    </row>
    <row r="13" spans="1:9" x14ac:dyDescent="0.35">
      <c r="A13" t="s">
        <v>11</v>
      </c>
      <c r="B13" s="2"/>
      <c r="C13" s="2">
        <v>0</v>
      </c>
      <c r="D13" s="2">
        <v>0</v>
      </c>
      <c r="E13" s="2">
        <v>0</v>
      </c>
      <c r="F13" s="2">
        <v>0</v>
      </c>
      <c r="G13" s="2"/>
      <c r="H13" s="2">
        <f t="shared" si="0"/>
        <v>0</v>
      </c>
      <c r="I13" s="2" t="s">
        <v>17</v>
      </c>
    </row>
    <row r="14" spans="1:9" x14ac:dyDescent="0.35">
      <c r="A14" t="s">
        <v>12</v>
      </c>
      <c r="B14" s="2"/>
      <c r="C14" s="2">
        <v>0</v>
      </c>
      <c r="D14" s="2">
        <v>0</v>
      </c>
      <c r="E14" s="2">
        <v>0</v>
      </c>
      <c r="F14" s="2">
        <v>0</v>
      </c>
      <c r="G14" s="2"/>
      <c r="H14" s="2">
        <f t="shared" si="0"/>
        <v>0</v>
      </c>
      <c r="I14" s="2" t="s">
        <v>17</v>
      </c>
    </row>
    <row r="15" spans="1:9" x14ac:dyDescent="0.35">
      <c r="A15" t="s">
        <v>13</v>
      </c>
      <c r="B15" s="2"/>
      <c r="C15" s="2">
        <v>0</v>
      </c>
      <c r="D15" s="2">
        <v>0</v>
      </c>
      <c r="E15" s="2">
        <v>0</v>
      </c>
      <c r="F15" s="2">
        <v>0</v>
      </c>
      <c r="G15" s="2"/>
      <c r="H15" s="2">
        <f t="shared" si="0"/>
        <v>0</v>
      </c>
      <c r="I15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D8"/>
  <sheetViews>
    <sheetView workbookViewId="0">
      <selection activeCell="B7" sqref="B7"/>
    </sheetView>
  </sheetViews>
  <sheetFormatPr defaultRowHeight="14.5" x14ac:dyDescent="0.35"/>
  <cols>
    <col min="1" max="1" width="22" bestFit="1" customWidth="1"/>
    <col min="2" max="2" width="15.7265625" bestFit="1" customWidth="1"/>
    <col min="3" max="3" width="16.08984375" bestFit="1" customWidth="1"/>
    <col min="4" max="4" width="5.08984375" bestFit="1" customWidth="1"/>
    <col min="5" max="6" width="15.26953125" bestFit="1" customWidth="1"/>
    <col min="7" max="7" width="15.90625" bestFit="1" customWidth="1"/>
  </cols>
  <sheetData>
    <row r="1" spans="1:4" x14ac:dyDescent="0.35">
      <c r="A1" s="3" t="str">
        <f>Salary!A1</f>
        <v>PT. Kalapa Teknologi Putera</v>
      </c>
    </row>
    <row r="2" spans="1:4" x14ac:dyDescent="0.35">
      <c r="A2" s="3" t="str">
        <f>Salary!A2&amp;TEXT(Salary!$B$2,"MMMM-YYYY")</f>
        <v>Periode : April-2026</v>
      </c>
    </row>
    <row r="6" spans="1:4" x14ac:dyDescent="0.35">
      <c r="A6" s="33" t="s">
        <v>88</v>
      </c>
    </row>
    <row r="7" spans="1:4" x14ac:dyDescent="0.35">
      <c r="A7" s="33" t="s">
        <v>40</v>
      </c>
      <c r="B7" s="33" t="s">
        <v>83</v>
      </c>
      <c r="C7" s="33" t="s">
        <v>86</v>
      </c>
      <c r="D7" t="s">
        <v>89</v>
      </c>
    </row>
    <row r="8" spans="1:4" x14ac:dyDescent="0.35">
      <c r="A8" t="s">
        <v>77</v>
      </c>
      <c r="D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G9"/>
  <sheetViews>
    <sheetView workbookViewId="0">
      <selection activeCell="B7" sqref="B7"/>
    </sheetView>
  </sheetViews>
  <sheetFormatPr defaultRowHeight="14.5" x14ac:dyDescent="0.35"/>
  <cols>
    <col min="1" max="1" width="18.6328125" bestFit="1" customWidth="1"/>
    <col min="2" max="2" width="20.36328125" bestFit="1" customWidth="1"/>
    <col min="3" max="3" width="22" customWidth="1"/>
    <col min="4" max="4" width="14.54296875" bestFit="1" customWidth="1"/>
    <col min="5" max="5" width="9.90625" bestFit="1" customWidth="1"/>
    <col min="6" max="6" width="23.81640625" bestFit="1" customWidth="1"/>
    <col min="7" max="7" width="10" bestFit="1" customWidth="1"/>
  </cols>
  <sheetData>
    <row r="1" spans="1:7" x14ac:dyDescent="0.35">
      <c r="A1" s="3" t="str">
        <f>Salary!A1</f>
        <v>PT. Kalapa Teknologi Putera</v>
      </c>
    </row>
    <row r="2" spans="1:7" x14ac:dyDescent="0.35">
      <c r="A2" s="3" t="str">
        <f>Salary!A2&amp;TEXT(Salary!$B$2,"MMMM-YYYY")</f>
        <v>Periode : April-2026</v>
      </c>
    </row>
    <row r="6" spans="1:7" x14ac:dyDescent="0.35">
      <c r="F6" s="33" t="s">
        <v>79</v>
      </c>
    </row>
    <row r="7" spans="1:7" x14ac:dyDescent="0.35">
      <c r="A7" s="33" t="s">
        <v>55</v>
      </c>
      <c r="B7" s="33" t="s">
        <v>19</v>
      </c>
      <c r="C7" s="33" t="s">
        <v>87</v>
      </c>
      <c r="D7" s="33" t="s">
        <v>26</v>
      </c>
      <c r="E7" s="33" t="s">
        <v>20</v>
      </c>
      <c r="F7" t="s">
        <v>78</v>
      </c>
      <c r="G7" t="s">
        <v>137</v>
      </c>
    </row>
    <row r="8" spans="1:7" x14ac:dyDescent="0.35">
      <c r="A8" t="s">
        <v>76</v>
      </c>
      <c r="B8" t="s">
        <v>76</v>
      </c>
      <c r="C8" t="s">
        <v>76</v>
      </c>
      <c r="D8" t="s">
        <v>76</v>
      </c>
      <c r="E8" t="s">
        <v>76</v>
      </c>
      <c r="F8" s="34"/>
      <c r="G8" s="34"/>
    </row>
    <row r="9" spans="1:7" x14ac:dyDescent="0.35">
      <c r="A9" t="s">
        <v>77</v>
      </c>
      <c r="F9" s="34"/>
      <c r="G9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FF00"/>
  </sheetPr>
  <dimension ref="A1:BH67"/>
  <sheetViews>
    <sheetView showGridLines="0" tabSelected="1" zoomScale="70" zoomScaleNormal="70" workbookViewId="0">
      <pane xSplit="2" ySplit="5" topLeftCell="AC6" activePane="bottomRight" state="frozen"/>
      <selection pane="topRight" activeCell="C1" sqref="C1"/>
      <selection pane="bottomLeft" activeCell="A5" sqref="A5"/>
      <selection pane="bottomRight" activeCell="AD4" sqref="AD4"/>
    </sheetView>
  </sheetViews>
  <sheetFormatPr defaultRowHeight="14.5" outlineLevelCol="1" x14ac:dyDescent="0.35"/>
  <cols>
    <col min="1" max="1" width="8.453125" bestFit="1" customWidth="1"/>
    <col min="2" max="2" width="16.6328125" bestFit="1" customWidth="1"/>
    <col min="3" max="3" width="12" bestFit="1" customWidth="1"/>
    <col min="4" max="4" width="13.90625" bestFit="1" customWidth="1"/>
    <col min="5" max="5" width="13.6328125" bestFit="1" customWidth="1"/>
    <col min="6" max="6" width="13.26953125" bestFit="1" customWidth="1"/>
    <col min="7" max="7" width="18.81640625" bestFit="1" customWidth="1"/>
    <col min="8" max="8" width="16.08984375" bestFit="1" customWidth="1"/>
    <col min="9" max="9" width="10.453125" bestFit="1" customWidth="1"/>
    <col min="10" max="10" width="13.36328125" hidden="1" customWidth="1"/>
    <col min="11" max="11" width="15" hidden="1" customWidth="1"/>
    <col min="12" max="12" width="12" bestFit="1" customWidth="1"/>
    <col min="13" max="13" width="12" customWidth="1"/>
    <col min="14" max="14" width="10.08984375" bestFit="1" customWidth="1"/>
    <col min="15" max="15" width="8.90625" bestFit="1" customWidth="1"/>
    <col min="16" max="16" width="12.08984375" bestFit="1" customWidth="1"/>
    <col min="17" max="17" width="10.90625" bestFit="1" customWidth="1"/>
    <col min="18" max="18" width="14.7265625" customWidth="1"/>
    <col min="19" max="19" width="17.54296875" hidden="1" customWidth="1" outlineLevel="1"/>
    <col min="20" max="20" width="17.6328125" customWidth="1" outlineLevel="1"/>
    <col min="21" max="21" width="11.81640625" bestFit="1" customWidth="1" outlineLevel="1"/>
    <col min="22" max="22" width="13.6328125" customWidth="1" outlineLevel="1"/>
    <col min="23" max="23" width="12.08984375" bestFit="1" customWidth="1"/>
    <col min="24" max="24" width="10.1796875" bestFit="1" customWidth="1"/>
    <col min="25" max="25" width="11.7265625" bestFit="1" customWidth="1"/>
    <col min="26" max="27" width="8.90625" bestFit="1" customWidth="1"/>
    <col min="28" max="28" width="12.7265625" bestFit="1" customWidth="1"/>
    <col min="29" max="29" width="12.453125" bestFit="1" customWidth="1"/>
    <col min="30" max="30" width="11.1796875" bestFit="1" customWidth="1"/>
    <col min="31" max="31" width="11.54296875" bestFit="1" customWidth="1"/>
    <col min="32" max="32" width="13.36328125" bestFit="1" customWidth="1"/>
    <col min="33" max="33" width="13.6328125" bestFit="1" customWidth="1"/>
    <col min="34" max="34" width="10.26953125" bestFit="1" customWidth="1"/>
    <col min="35" max="35" width="15.36328125" style="83" customWidth="1" outlineLevel="1"/>
    <col min="36" max="36" width="16.1796875" customWidth="1"/>
    <col min="37" max="37" width="10.36328125" bestFit="1" customWidth="1"/>
    <col min="38" max="38" width="10.6328125" hidden="1" customWidth="1" outlineLevel="1"/>
    <col min="39" max="39" width="11.7265625" bestFit="1" customWidth="1" collapsed="1"/>
    <col min="41" max="41" width="2.81640625" customWidth="1"/>
    <col min="42" max="42" width="19.08984375" bestFit="1" customWidth="1"/>
    <col min="43" max="43" width="14.1796875" bestFit="1" customWidth="1"/>
    <col min="44" max="44" width="9" bestFit="1" customWidth="1"/>
    <col min="45" max="45" width="10.1796875" bestFit="1" customWidth="1"/>
    <col min="46" max="46" width="12.1796875" bestFit="1" customWidth="1"/>
    <col min="47" max="47" width="10.453125" bestFit="1" customWidth="1"/>
    <col min="48" max="48" width="16.6328125" bestFit="1" customWidth="1"/>
    <col min="49" max="49" width="7.36328125" customWidth="1"/>
    <col min="50" max="50" width="34.36328125" customWidth="1"/>
    <col min="51" max="51" width="16.453125" customWidth="1"/>
    <col min="52" max="52" width="15.7265625" customWidth="1"/>
    <col min="53" max="53" width="4.36328125" customWidth="1"/>
    <col min="54" max="54" width="13.26953125" customWidth="1"/>
    <col min="55" max="55" width="3.08984375" customWidth="1"/>
    <col min="56" max="56" width="13.6328125" customWidth="1"/>
    <col min="57" max="57" width="14.54296875" customWidth="1"/>
    <col min="58" max="58" width="20.6328125" customWidth="1"/>
    <col min="59" max="59" width="13.36328125" customWidth="1"/>
    <col min="60" max="60" width="9.81640625" bestFit="1" customWidth="1"/>
  </cols>
  <sheetData>
    <row r="1" spans="1:60" ht="43.5" x14ac:dyDescent="0.35">
      <c r="A1" s="3" t="s">
        <v>146</v>
      </c>
      <c r="R1" s="88" t="s">
        <v>141</v>
      </c>
      <c r="AF1" s="92" t="s">
        <v>141</v>
      </c>
      <c r="AG1" s="92"/>
      <c r="AI1" s="89" t="s">
        <v>142</v>
      </c>
    </row>
    <row r="2" spans="1:60" x14ac:dyDescent="0.35">
      <c r="A2" s="3" t="s">
        <v>80</v>
      </c>
      <c r="B2" s="41">
        <v>46113</v>
      </c>
    </row>
    <row r="3" spans="1:60" ht="29" x14ac:dyDescent="0.35">
      <c r="A3" s="44" t="s">
        <v>91</v>
      </c>
      <c r="B3" s="45">
        <v>19</v>
      </c>
      <c r="AM3" s="30"/>
      <c r="AN3" s="30"/>
    </row>
    <row r="4" spans="1:60" x14ac:dyDescent="0.35">
      <c r="N4" s="42">
        <v>3.0000000000000001E-3</v>
      </c>
      <c r="O4" s="42">
        <v>2.3999999999999998E-3</v>
      </c>
      <c r="P4" s="42">
        <v>3.6999999999999998E-2</v>
      </c>
      <c r="Q4" s="42">
        <v>0.02</v>
      </c>
      <c r="R4" s="42">
        <v>0.04</v>
      </c>
      <c r="Z4" s="43">
        <f>N4</f>
        <v>3.0000000000000001E-3</v>
      </c>
      <c r="AA4" s="43">
        <f>O4</f>
        <v>2.3999999999999998E-3</v>
      </c>
      <c r="AB4" s="42">
        <v>0.02</v>
      </c>
      <c r="AC4" s="43">
        <f>P4</f>
        <v>3.6999999999999998E-2</v>
      </c>
      <c r="AD4" s="43">
        <f>Q4</f>
        <v>0.02</v>
      </c>
      <c r="AE4" s="42">
        <v>0.01</v>
      </c>
      <c r="AF4" s="43">
        <f>R4</f>
        <v>0.04</v>
      </c>
      <c r="AG4" s="42">
        <v>0.01</v>
      </c>
      <c r="AM4" s="30"/>
      <c r="BD4" s="91" t="s">
        <v>101</v>
      </c>
      <c r="BE4" s="91"/>
      <c r="BF4" s="91"/>
      <c r="BG4" s="91"/>
    </row>
    <row r="5" spans="1:60" s="99" customFormat="1" ht="40.5" customHeight="1" x14ac:dyDescent="0.35">
      <c r="A5" s="97" t="s">
        <v>18</v>
      </c>
      <c r="B5" s="97" t="s">
        <v>87</v>
      </c>
      <c r="C5" s="97" t="s">
        <v>90</v>
      </c>
      <c r="D5" s="97" t="s">
        <v>55</v>
      </c>
      <c r="E5" s="97" t="s">
        <v>19</v>
      </c>
      <c r="F5" s="97" t="s">
        <v>20</v>
      </c>
      <c r="G5" s="97" t="s">
        <v>21</v>
      </c>
      <c r="H5" s="97" t="s">
        <v>22</v>
      </c>
      <c r="I5" s="97" t="s">
        <v>23</v>
      </c>
      <c r="J5" s="97" t="s">
        <v>24</v>
      </c>
      <c r="K5" s="97" t="s">
        <v>25</v>
      </c>
      <c r="L5" s="97" t="s">
        <v>41</v>
      </c>
      <c r="M5" s="97" t="s">
        <v>157</v>
      </c>
      <c r="N5" s="97" t="s">
        <v>27</v>
      </c>
      <c r="O5" s="97" t="s">
        <v>28</v>
      </c>
      <c r="P5" s="97" t="s">
        <v>29</v>
      </c>
      <c r="Q5" s="97" t="s">
        <v>30</v>
      </c>
      <c r="R5" s="97" t="s">
        <v>31</v>
      </c>
      <c r="S5" s="97" t="s">
        <v>136</v>
      </c>
      <c r="T5" s="97" t="s">
        <v>155</v>
      </c>
      <c r="U5" s="97" t="s">
        <v>156</v>
      </c>
      <c r="V5" s="97" t="s">
        <v>51</v>
      </c>
      <c r="W5" s="97" t="s">
        <v>46</v>
      </c>
      <c r="X5" s="97" t="s">
        <v>145</v>
      </c>
      <c r="Y5" s="97" t="s">
        <v>33</v>
      </c>
      <c r="Z5" s="97" t="s">
        <v>27</v>
      </c>
      <c r="AA5" s="97" t="s">
        <v>28</v>
      </c>
      <c r="AB5" s="97" t="s">
        <v>34</v>
      </c>
      <c r="AC5" s="97" t="s">
        <v>29</v>
      </c>
      <c r="AD5" s="97" t="s">
        <v>30</v>
      </c>
      <c r="AE5" s="97" t="s">
        <v>35</v>
      </c>
      <c r="AF5" s="97" t="s">
        <v>31</v>
      </c>
      <c r="AG5" s="97" t="s">
        <v>36</v>
      </c>
      <c r="AH5" s="97" t="s">
        <v>81</v>
      </c>
      <c r="AI5" s="98" t="s">
        <v>37</v>
      </c>
      <c r="AJ5" s="97" t="s">
        <v>38</v>
      </c>
      <c r="AK5" s="97" t="s">
        <v>42</v>
      </c>
      <c r="AL5" s="97" t="s">
        <v>43</v>
      </c>
      <c r="AM5" s="97" t="s">
        <v>39</v>
      </c>
      <c r="AN5" s="97" t="s">
        <v>40</v>
      </c>
      <c r="AO5" s="97" t="s">
        <v>82</v>
      </c>
      <c r="AP5" s="97" t="s">
        <v>86</v>
      </c>
      <c r="AQ5" s="97" t="s">
        <v>83</v>
      </c>
      <c r="AR5" s="97" t="s">
        <v>26</v>
      </c>
      <c r="AS5" s="97" t="s">
        <v>85</v>
      </c>
      <c r="AT5" s="97" t="s">
        <v>84</v>
      </c>
      <c r="AU5" s="97" t="s">
        <v>45</v>
      </c>
      <c r="AV5" s="97" t="s">
        <v>47</v>
      </c>
      <c r="AX5" s="97" t="s">
        <v>92</v>
      </c>
      <c r="AY5" s="97" t="s">
        <v>93</v>
      </c>
      <c r="AZ5" s="97" t="s">
        <v>95</v>
      </c>
      <c r="BB5" s="97" t="s">
        <v>96</v>
      </c>
      <c r="BD5" s="97" t="s">
        <v>97</v>
      </c>
      <c r="BE5" s="97" t="s">
        <v>98</v>
      </c>
      <c r="BF5" s="97" t="s">
        <v>99</v>
      </c>
      <c r="BG5" s="97" t="s">
        <v>100</v>
      </c>
    </row>
    <row r="6" spans="1:60" x14ac:dyDescent="0.35">
      <c r="A6" s="20">
        <v>1</v>
      </c>
      <c r="B6" t="s">
        <v>147</v>
      </c>
      <c r="D6" s="83"/>
      <c r="E6" s="83"/>
      <c r="F6" t="s">
        <v>154</v>
      </c>
      <c r="G6" t="s">
        <v>151</v>
      </c>
      <c r="H6" t="s">
        <v>134</v>
      </c>
      <c r="I6" s="72">
        <v>45873</v>
      </c>
      <c r="L6" s="2">
        <v>5729876</v>
      </c>
      <c r="M6" s="2">
        <v>5729876</v>
      </c>
      <c r="N6" s="40">
        <f>M6*$N$4</f>
        <v>17189.628000000001</v>
      </c>
      <c r="O6" s="40">
        <f>M6*$O$4</f>
        <v>13751.702399999998</v>
      </c>
      <c r="P6" s="40">
        <f>M6*$P$4</f>
        <v>212005.41199999998</v>
      </c>
      <c r="Q6" s="40">
        <f>M6*$Q$4</f>
        <v>114597.52</v>
      </c>
      <c r="R6" s="40">
        <f>L6*$R$4</f>
        <v>229195.04</v>
      </c>
      <c r="S6" s="78"/>
      <c r="T6" s="2">
        <v>500000</v>
      </c>
      <c r="U6" s="2">
        <v>100000</v>
      </c>
      <c r="V6" s="2"/>
      <c r="W6" s="32"/>
      <c r="X6" s="50"/>
      <c r="Y6" s="40">
        <f>SUM(M6:X6)</f>
        <v>6916615.3023999985</v>
      </c>
      <c r="Z6" s="40">
        <f>N6</f>
        <v>17189.628000000001</v>
      </c>
      <c r="AA6" s="40">
        <f>O6</f>
        <v>13751.702399999998</v>
      </c>
      <c r="AB6" s="86">
        <f>M6*$AB$4</f>
        <v>114597.52</v>
      </c>
      <c r="AC6" s="40">
        <f t="shared" ref="AC6:AC8" si="0">P6</f>
        <v>212005.41199999998</v>
      </c>
      <c r="AD6" s="40">
        <f t="shared" ref="AD6:AD8" si="1">Q6</f>
        <v>114597.52</v>
      </c>
      <c r="AE6" s="86">
        <f>M6*$AE$4</f>
        <v>57298.76</v>
      </c>
      <c r="AF6" s="40">
        <f t="shared" ref="AF6:AF8" si="2">R6</f>
        <v>229195.04</v>
      </c>
      <c r="AG6" s="86">
        <f>L6*$AG$4</f>
        <v>57298.76</v>
      </c>
      <c r="AH6" s="40">
        <v>0</v>
      </c>
      <c r="AI6" s="84"/>
      <c r="AJ6" s="40">
        <f>SUM(Z6:AI6)</f>
        <v>815934.34240000008</v>
      </c>
      <c r="AK6" s="40">
        <f>AU6</f>
        <v>65900</v>
      </c>
      <c r="AL6" s="2"/>
      <c r="AM6" s="40">
        <f>Y6-AJ6-AK6-AL6</f>
        <v>6034780.9599999981</v>
      </c>
      <c r="AR6" s="39" t="s">
        <v>56</v>
      </c>
      <c r="AS6" s="35" t="str">
        <f>IFERROR(VLOOKUP($AR6,TER!$G$6:$H$17,2,FALSE),"")</f>
        <v>TER A</v>
      </c>
      <c r="AT6" s="36" cm="1">
        <f t="array" ref="AT6">SUMPRODUCT(TER!$E$6:$E$132*(TER!$A$6:$A$132=$AS6)*(TER!$B$6:$B$132&lt;$AV6)*((TER!$D$6:$D$132&gt;=$AV6)+(TER!$D$6:$D$132="")))</f>
        <v>0.01</v>
      </c>
      <c r="AU6" s="37">
        <f>ROUNDDOWN(AT6*AV6,0)</f>
        <v>65900</v>
      </c>
      <c r="AV6" s="37">
        <f>Y6-AC6-AD6-AH6-AI6</f>
        <v>6590012.3703999994</v>
      </c>
      <c r="AW6" s="30"/>
      <c r="AX6" s="46" t="s">
        <v>94</v>
      </c>
      <c r="AY6" s="46" t="s">
        <v>94</v>
      </c>
      <c r="AZ6" s="32">
        <v>5700000</v>
      </c>
      <c r="BB6" s="47"/>
      <c r="BD6" s="47"/>
      <c r="BE6" s="48"/>
      <c r="BF6" s="49">
        <f t="shared" ref="BF6:BF8" si="3">($BE6*2)-(0.5*$BD6)</f>
        <v>0</v>
      </c>
      <c r="BG6" s="50">
        <f>ROUND(L6/173,2)</f>
        <v>33120.67</v>
      </c>
      <c r="BH6" s="30"/>
    </row>
    <row r="7" spans="1:60" x14ac:dyDescent="0.35">
      <c r="A7" s="20">
        <f>A6+1</f>
        <v>2</v>
      </c>
      <c r="B7" t="s">
        <v>148</v>
      </c>
      <c r="D7" s="83"/>
      <c r="E7" s="83"/>
      <c r="F7" t="s">
        <v>154</v>
      </c>
      <c r="G7" t="s">
        <v>152</v>
      </c>
      <c r="H7" t="s">
        <v>134</v>
      </c>
      <c r="I7" s="72">
        <v>45945</v>
      </c>
      <c r="L7" s="2">
        <v>8500000</v>
      </c>
      <c r="M7" s="2">
        <v>8500000</v>
      </c>
      <c r="N7" s="40">
        <f t="shared" ref="N7:N9" si="4">M7*$N$4</f>
        <v>25500</v>
      </c>
      <c r="O7" s="40">
        <f t="shared" ref="O7:O9" si="5">M7*$O$4</f>
        <v>20400</v>
      </c>
      <c r="P7" s="40">
        <f t="shared" ref="P7:P9" si="6">M7*$P$4</f>
        <v>314500</v>
      </c>
      <c r="Q7" s="40">
        <f t="shared" ref="Q7:Q9" si="7">M7*$Q$4</f>
        <v>170000</v>
      </c>
      <c r="R7" s="40">
        <f t="shared" ref="R7:R9" si="8">L7*$R$4</f>
        <v>340000</v>
      </c>
      <c r="S7" s="2"/>
      <c r="T7" s="2">
        <v>0</v>
      </c>
      <c r="U7" s="2">
        <v>500000</v>
      </c>
      <c r="V7" s="2"/>
      <c r="W7" s="32"/>
      <c r="X7" s="50"/>
      <c r="Y7" s="40">
        <f t="shared" ref="Y7:Y9" si="9">SUM(M7:X7)</f>
        <v>9870400</v>
      </c>
      <c r="Z7" s="40">
        <f t="shared" ref="Z7:Z8" si="10">N7</f>
        <v>25500</v>
      </c>
      <c r="AA7" s="40">
        <f t="shared" ref="AA7:AA8" si="11">O7</f>
        <v>20400</v>
      </c>
      <c r="AB7" s="86">
        <f t="shared" ref="AB7:AB9" si="12">M7*$AB$4</f>
        <v>170000</v>
      </c>
      <c r="AC7" s="40">
        <f t="shared" si="0"/>
        <v>314500</v>
      </c>
      <c r="AD7" s="40">
        <f t="shared" si="1"/>
        <v>170000</v>
      </c>
      <c r="AE7" s="86">
        <f t="shared" ref="AE7:AE9" si="13">M7*$AE$4</f>
        <v>85000</v>
      </c>
      <c r="AF7" s="40">
        <f t="shared" si="2"/>
        <v>340000</v>
      </c>
      <c r="AG7" s="86">
        <f t="shared" ref="AG7:AG9" si="14">L7*$AG$4</f>
        <v>85000</v>
      </c>
      <c r="AH7" s="40">
        <v>0</v>
      </c>
      <c r="AI7" s="84"/>
      <c r="AJ7" s="40">
        <f t="shared" ref="AJ7:AJ8" si="15">SUM(Z7:AI7)</f>
        <v>1210400</v>
      </c>
      <c r="AK7" s="40">
        <f t="shared" ref="AK7:AK9" si="16">AU7</f>
        <v>164253</v>
      </c>
      <c r="AL7" s="2"/>
      <c r="AM7" s="40">
        <f t="shared" ref="AM7:AM8" si="17">Y7-AJ7-AK7-AL7</f>
        <v>8495747</v>
      </c>
      <c r="AR7" s="39" t="s">
        <v>56</v>
      </c>
      <c r="AS7" s="35" t="str">
        <f>IFERROR(VLOOKUP($AR7,TER!$G$6:$H$17,2,FALSE),"")</f>
        <v>TER A</v>
      </c>
      <c r="AT7" s="36" cm="1">
        <f t="array" ref="AT7">SUMPRODUCT(TER!$E$6:$E$132*(TER!$A$6:$A$132=$AS7)*(TER!$B$6:$B$132&lt;$AV7)*((TER!$D$6:$D$132&gt;=$AV7)+(TER!$D$6:$D$132="")))</f>
        <v>1.7500000000000002E-2</v>
      </c>
      <c r="AU7" s="37">
        <f t="shared" ref="AU7:AU9" si="18">ROUNDDOWN(AT7*AV7,0)</f>
        <v>164253</v>
      </c>
      <c r="AV7" s="37">
        <f t="shared" ref="AV7:AV8" si="19">Y7-AC7-AD7-AH7-AI7</f>
        <v>9385900</v>
      </c>
      <c r="AW7" s="30"/>
      <c r="AX7" s="46" t="s">
        <v>94</v>
      </c>
      <c r="AY7" s="46" t="s">
        <v>94</v>
      </c>
      <c r="AZ7" s="32">
        <v>5250000</v>
      </c>
      <c r="BB7" s="47"/>
      <c r="BD7" s="47"/>
      <c r="BE7" s="48"/>
      <c r="BF7" s="49">
        <f t="shared" si="3"/>
        <v>0</v>
      </c>
      <c r="BG7" s="50">
        <f>ROUND(L7/173,2)</f>
        <v>49132.95</v>
      </c>
      <c r="BH7" s="30"/>
    </row>
    <row r="8" spans="1:60" x14ac:dyDescent="0.35">
      <c r="A8" s="20">
        <f>A7+1</f>
        <v>3</v>
      </c>
      <c r="B8" t="s">
        <v>149</v>
      </c>
      <c r="D8" s="83"/>
      <c r="E8" s="83"/>
      <c r="F8" t="s">
        <v>154</v>
      </c>
      <c r="G8" t="s">
        <v>152</v>
      </c>
      <c r="H8" t="s">
        <v>134</v>
      </c>
      <c r="I8" s="72">
        <v>45945</v>
      </c>
      <c r="L8" s="2">
        <v>8500000</v>
      </c>
      <c r="M8" s="2">
        <v>8500000</v>
      </c>
      <c r="N8" s="40">
        <f t="shared" si="4"/>
        <v>25500</v>
      </c>
      <c r="O8" s="40">
        <f t="shared" si="5"/>
        <v>20400</v>
      </c>
      <c r="P8" s="40">
        <f t="shared" si="6"/>
        <v>314500</v>
      </c>
      <c r="Q8" s="40">
        <f t="shared" si="7"/>
        <v>170000</v>
      </c>
      <c r="R8" s="40">
        <f t="shared" si="8"/>
        <v>340000</v>
      </c>
      <c r="S8" s="2"/>
      <c r="T8" s="2">
        <v>0</v>
      </c>
      <c r="U8" s="2">
        <v>500000</v>
      </c>
      <c r="V8" s="2"/>
      <c r="W8" s="32"/>
      <c r="X8" s="50"/>
      <c r="Y8" s="40">
        <f t="shared" si="9"/>
        <v>9870400</v>
      </c>
      <c r="Z8" s="40">
        <f t="shared" si="10"/>
        <v>25500</v>
      </c>
      <c r="AA8" s="40">
        <f t="shared" si="11"/>
        <v>20400</v>
      </c>
      <c r="AB8" s="86">
        <f t="shared" si="12"/>
        <v>170000</v>
      </c>
      <c r="AC8" s="40">
        <f t="shared" si="0"/>
        <v>314500</v>
      </c>
      <c r="AD8" s="40">
        <f t="shared" si="1"/>
        <v>170000</v>
      </c>
      <c r="AE8" s="86">
        <f t="shared" si="13"/>
        <v>85000</v>
      </c>
      <c r="AF8" s="40">
        <f t="shared" si="2"/>
        <v>340000</v>
      </c>
      <c r="AG8" s="86">
        <f t="shared" si="14"/>
        <v>85000</v>
      </c>
      <c r="AH8" s="40">
        <v>0</v>
      </c>
      <c r="AI8" s="84"/>
      <c r="AJ8" s="40">
        <f t="shared" si="15"/>
        <v>1210400</v>
      </c>
      <c r="AK8" s="40">
        <f t="shared" si="16"/>
        <v>164253</v>
      </c>
      <c r="AL8" s="2"/>
      <c r="AM8" s="40">
        <f t="shared" si="17"/>
        <v>8495747</v>
      </c>
      <c r="AR8" s="39" t="s">
        <v>56</v>
      </c>
      <c r="AS8" s="35" t="str">
        <f>IFERROR(VLOOKUP($AR8,TER!$G$6:$H$17,2,FALSE),"")</f>
        <v>TER A</v>
      </c>
      <c r="AT8" s="36" cm="1">
        <f t="array" ref="AT8">SUMPRODUCT(TER!$E$6:$E$132*(TER!$A$6:$A$132=$AS8)*(TER!$B$6:$B$132&lt;$AV8)*((TER!$D$6:$D$132&gt;=$AV8)+(TER!$D$6:$D$132="")))</f>
        <v>1.7500000000000002E-2</v>
      </c>
      <c r="AU8" s="37">
        <f t="shared" si="18"/>
        <v>164253</v>
      </c>
      <c r="AV8" s="37">
        <f t="shared" si="19"/>
        <v>9385900</v>
      </c>
      <c r="AW8" s="30"/>
      <c r="AX8" s="46" t="s">
        <v>94</v>
      </c>
      <c r="AY8" s="46" t="s">
        <v>94</v>
      </c>
      <c r="AZ8" s="32">
        <v>5250000</v>
      </c>
      <c r="BB8" s="47"/>
      <c r="BD8" s="47"/>
      <c r="BE8" s="48"/>
      <c r="BF8" s="49">
        <f t="shared" si="3"/>
        <v>0</v>
      </c>
      <c r="BG8" s="50">
        <f>ROUND(L8/173,2)</f>
        <v>49132.95</v>
      </c>
      <c r="BH8" s="30"/>
    </row>
    <row r="9" spans="1:60" x14ac:dyDescent="0.35">
      <c r="A9" s="20">
        <f>A8+1</f>
        <v>4</v>
      </c>
      <c r="B9" t="s">
        <v>150</v>
      </c>
      <c r="D9" s="83"/>
      <c r="E9" s="83"/>
      <c r="F9" t="s">
        <v>154</v>
      </c>
      <c r="G9" t="s">
        <v>153</v>
      </c>
      <c r="H9" t="s">
        <v>134</v>
      </c>
      <c r="I9" s="72">
        <v>46127</v>
      </c>
      <c r="L9" s="2">
        <v>6729876</v>
      </c>
      <c r="M9" s="2">
        <v>1416816</v>
      </c>
      <c r="N9" s="40">
        <f t="shared" si="4"/>
        <v>4250.4480000000003</v>
      </c>
      <c r="O9" s="40">
        <f t="shared" si="5"/>
        <v>3400.3583999999996</v>
      </c>
      <c r="P9" s="40">
        <f t="shared" si="6"/>
        <v>52422.191999999995</v>
      </c>
      <c r="Q9" s="40">
        <f t="shared" si="7"/>
        <v>28336.32</v>
      </c>
      <c r="R9" s="40">
        <f t="shared" si="8"/>
        <v>269195.03999999998</v>
      </c>
      <c r="S9" s="2"/>
      <c r="T9" s="2">
        <v>0</v>
      </c>
      <c r="U9" s="2">
        <v>21052.63157894737</v>
      </c>
      <c r="V9" s="82"/>
      <c r="W9" s="32"/>
      <c r="X9" s="50"/>
      <c r="Y9" s="40">
        <f t="shared" si="9"/>
        <v>1795472.9899789477</v>
      </c>
      <c r="Z9" s="40">
        <f t="shared" ref="Z9" si="20">N9</f>
        <v>4250.4480000000003</v>
      </c>
      <c r="AA9" s="40">
        <f t="shared" ref="AA9" si="21">O9</f>
        <v>3400.3583999999996</v>
      </c>
      <c r="AB9" s="86">
        <f t="shared" si="12"/>
        <v>28336.32</v>
      </c>
      <c r="AC9" s="40">
        <f t="shared" ref="AC9" si="22">P9</f>
        <v>52422.191999999995</v>
      </c>
      <c r="AD9" s="40">
        <f t="shared" ref="AD9" si="23">Q9</f>
        <v>28336.32</v>
      </c>
      <c r="AE9" s="86">
        <f t="shared" si="13"/>
        <v>14168.16</v>
      </c>
      <c r="AF9" s="76">
        <f>R9</f>
        <v>269195.03999999998</v>
      </c>
      <c r="AG9" s="86">
        <f t="shared" si="14"/>
        <v>67298.759999999995</v>
      </c>
      <c r="AH9" s="40">
        <v>0</v>
      </c>
      <c r="AI9" s="84">
        <v>0</v>
      </c>
      <c r="AJ9" s="40">
        <f t="shared" ref="AJ9" si="24">SUM(Z9:AI9)</f>
        <v>467407.59840000002</v>
      </c>
      <c r="AK9" s="40">
        <f t="shared" si="16"/>
        <v>0</v>
      </c>
      <c r="AL9" s="2"/>
      <c r="AM9" s="40">
        <f t="shared" ref="AM9" si="25">Y9-AJ9-AK9-AL9</f>
        <v>1328065.3915789477</v>
      </c>
      <c r="AR9" s="39" t="s">
        <v>56</v>
      </c>
      <c r="AS9" s="35" t="str">
        <f>IFERROR(VLOOKUP($AR9,TER!$G$6:$H$17,2,FALSE),"")</f>
        <v>TER A</v>
      </c>
      <c r="AT9" s="36" cm="1">
        <f t="array" ref="AT9">SUMPRODUCT(TER!$E$6:$E$132*(TER!$A$6:$A$132=$AS9)*(TER!$B$6:$B$132&lt;$AV9)*((TER!$D$6:$D$132&gt;=$AV9)+(TER!$D$6:$D$132="")))</f>
        <v>0</v>
      </c>
      <c r="AU9" s="37">
        <f t="shared" si="18"/>
        <v>0</v>
      </c>
      <c r="AV9" s="37">
        <f t="shared" ref="AV9" si="26">Y9-AC9-AD9-AH9-AI9</f>
        <v>1714714.4779789476</v>
      </c>
      <c r="AW9" s="30"/>
      <c r="AX9" s="46" t="s">
        <v>94</v>
      </c>
      <c r="AY9" s="46" t="s">
        <v>94</v>
      </c>
      <c r="AZ9" s="32">
        <v>3600000</v>
      </c>
      <c r="BB9" s="47"/>
      <c r="BD9" s="47"/>
      <c r="BE9" s="48"/>
      <c r="BF9" s="49">
        <f>($BE9*2)-(0.5*$BD9)</f>
        <v>0</v>
      </c>
      <c r="BG9" s="50">
        <f>ROUND(L9/173,2)</f>
        <v>38901.019999999997</v>
      </c>
      <c r="BH9" s="30"/>
    </row>
    <row r="10" spans="1:60" x14ac:dyDescent="0.35">
      <c r="A10" s="20"/>
      <c r="D10" s="75"/>
      <c r="E10" s="75"/>
      <c r="I10" s="72"/>
      <c r="L10" s="2"/>
      <c r="M10" s="2"/>
      <c r="N10" s="40"/>
      <c r="O10" s="40"/>
      <c r="P10" s="40"/>
      <c r="Q10" s="40"/>
      <c r="R10" s="40"/>
      <c r="S10" s="78"/>
      <c r="T10" s="2"/>
      <c r="U10" s="2"/>
      <c r="V10" s="2"/>
      <c r="W10" s="32"/>
      <c r="X10" s="5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84"/>
      <c r="AJ10" s="40"/>
      <c r="AK10" s="40"/>
      <c r="AL10" s="2"/>
      <c r="AM10" s="40"/>
      <c r="AR10" s="39"/>
      <c r="AS10" s="35"/>
      <c r="AT10" s="36"/>
      <c r="AU10" s="37"/>
      <c r="AV10" s="37"/>
      <c r="AX10" s="46"/>
      <c r="AY10" s="46"/>
      <c r="AZ10" s="32"/>
      <c r="BB10" s="47"/>
      <c r="BD10" s="47"/>
      <c r="BE10" s="48"/>
      <c r="BF10" s="49"/>
      <c r="BG10" s="50"/>
    </row>
    <row r="11" spans="1:60" x14ac:dyDescent="0.35">
      <c r="A11" s="20"/>
      <c r="D11" s="75"/>
      <c r="E11" s="75"/>
      <c r="I11" s="72"/>
      <c r="L11" s="2"/>
      <c r="M11" s="2"/>
      <c r="N11" s="40"/>
      <c r="O11" s="40"/>
      <c r="P11" s="40"/>
      <c r="Q11" s="40"/>
      <c r="R11" s="40"/>
      <c r="S11" s="78"/>
      <c r="T11" s="2"/>
      <c r="U11" s="2"/>
      <c r="V11" s="2"/>
      <c r="W11" s="32"/>
      <c r="X11" s="5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84"/>
      <c r="AJ11" s="40"/>
      <c r="AK11" s="40"/>
      <c r="AL11" s="2"/>
      <c r="AM11" s="40"/>
      <c r="AR11" s="39"/>
      <c r="AS11" s="35"/>
      <c r="AT11" s="36"/>
      <c r="AU11" s="37"/>
      <c r="AV11" s="37"/>
      <c r="AX11" s="46"/>
      <c r="AY11" s="46"/>
      <c r="AZ11" s="32"/>
      <c r="BB11" s="47"/>
      <c r="BD11" s="47"/>
      <c r="BE11" s="48"/>
      <c r="BF11" s="49"/>
      <c r="BG11" s="50"/>
    </row>
    <row r="12" spans="1:60" x14ac:dyDescent="0.35">
      <c r="A12" s="20"/>
      <c r="D12" s="75"/>
      <c r="E12" s="75"/>
      <c r="I12" s="72"/>
      <c r="L12" s="2"/>
      <c r="M12" s="2"/>
      <c r="N12" s="40"/>
      <c r="O12" s="40"/>
      <c r="P12" s="40"/>
      <c r="Q12" s="40"/>
      <c r="R12" s="40"/>
      <c r="S12" s="78"/>
      <c r="T12" s="2"/>
      <c r="U12" s="2"/>
      <c r="V12" s="2"/>
      <c r="W12" s="32"/>
      <c r="X12" s="5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84"/>
      <c r="AJ12" s="40"/>
      <c r="AK12" s="40"/>
      <c r="AL12" s="2"/>
      <c r="AM12" s="40"/>
      <c r="AR12" s="39"/>
      <c r="AS12" s="35"/>
      <c r="AT12" s="36"/>
      <c r="AU12" s="37"/>
      <c r="AV12" s="37"/>
      <c r="AX12" s="46"/>
      <c r="AY12" s="46"/>
      <c r="AZ12" s="32"/>
      <c r="BB12" s="47"/>
      <c r="BD12" s="47"/>
      <c r="BE12" s="48"/>
      <c r="BF12" s="49"/>
      <c r="BG12" s="50"/>
    </row>
    <row r="13" spans="1:60" x14ac:dyDescent="0.35">
      <c r="A13" s="20"/>
      <c r="D13" s="75"/>
      <c r="E13" s="75"/>
      <c r="I13" s="72"/>
      <c r="L13" s="2"/>
      <c r="M13" s="2"/>
      <c r="N13" s="40"/>
      <c r="O13" s="40"/>
      <c r="P13" s="40"/>
      <c r="Q13" s="40"/>
      <c r="R13" s="40"/>
      <c r="S13" s="78"/>
      <c r="T13" s="2"/>
      <c r="U13" s="2"/>
      <c r="V13" s="2"/>
      <c r="W13" s="32"/>
      <c r="X13" s="5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84"/>
      <c r="AJ13" s="40"/>
      <c r="AK13" s="40"/>
      <c r="AL13" s="2"/>
      <c r="AM13" s="40"/>
      <c r="AR13" s="39"/>
      <c r="AS13" s="35"/>
      <c r="AT13" s="36"/>
      <c r="AU13" s="37"/>
      <c r="AV13" s="37"/>
      <c r="AX13" s="46"/>
      <c r="AY13" s="46"/>
      <c r="AZ13" s="32"/>
      <c r="BB13" s="47"/>
      <c r="BD13" s="47"/>
      <c r="BE13" s="48"/>
      <c r="BF13" s="49"/>
      <c r="BG13" s="50"/>
    </row>
    <row r="14" spans="1:60" x14ac:dyDescent="0.35">
      <c r="A14" s="20"/>
      <c r="D14" s="75"/>
      <c r="E14" s="75"/>
      <c r="I14" s="72"/>
      <c r="L14" s="2"/>
      <c r="M14" s="2"/>
      <c r="N14" s="40"/>
      <c r="O14" s="40"/>
      <c r="P14" s="40"/>
      <c r="Q14" s="40"/>
      <c r="R14" s="40"/>
      <c r="S14" s="78"/>
      <c r="T14" s="2"/>
      <c r="U14" s="2"/>
      <c r="V14" s="2"/>
      <c r="W14" s="32"/>
      <c r="X14" s="5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84"/>
      <c r="AJ14" s="40"/>
      <c r="AK14" s="40"/>
      <c r="AL14" s="2"/>
      <c r="AM14" s="40"/>
      <c r="AR14" s="39"/>
      <c r="AS14" s="35"/>
      <c r="AT14" s="36"/>
      <c r="AU14" s="37"/>
      <c r="AV14" s="37"/>
      <c r="AX14" s="46"/>
      <c r="AY14" s="46"/>
      <c r="AZ14" s="32"/>
      <c r="BB14" s="47"/>
      <c r="BD14" s="47"/>
      <c r="BE14" s="48"/>
      <c r="BF14" s="49"/>
      <c r="BG14" s="50"/>
    </row>
    <row r="15" spans="1:60" x14ac:dyDescent="0.35">
      <c r="A15" s="20"/>
      <c r="D15" s="75"/>
      <c r="E15" s="75"/>
      <c r="I15" s="72"/>
      <c r="L15" s="2"/>
      <c r="M15" s="2"/>
      <c r="N15" s="40"/>
      <c r="O15" s="40"/>
      <c r="P15" s="40"/>
      <c r="Q15" s="40"/>
      <c r="R15" s="40"/>
      <c r="S15" s="78"/>
      <c r="T15" s="2"/>
      <c r="U15" s="2"/>
      <c r="V15" s="2"/>
      <c r="W15" s="32"/>
      <c r="X15" s="5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84"/>
      <c r="AJ15" s="40"/>
      <c r="AK15" s="40"/>
      <c r="AL15" s="2"/>
      <c r="AM15" s="40"/>
      <c r="AR15" s="39"/>
      <c r="AS15" s="35"/>
      <c r="AT15" s="36"/>
      <c r="AU15" s="37"/>
      <c r="AV15" s="37"/>
      <c r="AX15" s="46"/>
      <c r="AY15" s="46"/>
      <c r="AZ15" s="32"/>
      <c r="BB15" s="47"/>
      <c r="BD15" s="47"/>
      <c r="BE15" s="48"/>
      <c r="BF15" s="49"/>
      <c r="BG15" s="50"/>
    </row>
    <row r="16" spans="1:60" x14ac:dyDescent="0.35">
      <c r="A16" s="20"/>
      <c r="D16" s="75"/>
      <c r="I16" s="72"/>
      <c r="L16" s="78"/>
      <c r="M16" s="78"/>
      <c r="N16" s="50"/>
      <c r="O16" s="50"/>
      <c r="P16" s="50"/>
      <c r="Q16" s="50"/>
      <c r="R16" s="50"/>
      <c r="S16" s="78"/>
      <c r="T16" s="78"/>
      <c r="U16" s="78"/>
      <c r="V16" s="78"/>
      <c r="W16" s="78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84"/>
      <c r="AJ16" s="50"/>
      <c r="AK16" s="50"/>
      <c r="AL16" s="78"/>
      <c r="AM16" s="50"/>
      <c r="AR16" s="39"/>
      <c r="AS16" s="35"/>
      <c r="AT16" s="79"/>
      <c r="AU16" s="37"/>
      <c r="AV16" s="37"/>
      <c r="AX16" s="20"/>
      <c r="AY16" s="20"/>
      <c r="AZ16" s="78"/>
      <c r="BB16" s="80"/>
      <c r="BD16" s="80"/>
      <c r="BE16" s="81"/>
      <c r="BF16" s="49"/>
      <c r="BG16" s="50"/>
    </row>
    <row r="17" spans="1:52" x14ac:dyDescent="0.35">
      <c r="A17" s="31"/>
      <c r="B17" s="31" t="s">
        <v>75</v>
      </c>
      <c r="C17" s="31"/>
      <c r="D17" s="31"/>
      <c r="E17" s="31"/>
      <c r="F17" s="31"/>
      <c r="G17" s="31"/>
      <c r="H17" s="31"/>
      <c r="I17" s="31"/>
      <c r="J17" s="31"/>
      <c r="K17" s="31"/>
      <c r="L17" s="38">
        <f>SUM(L6:L15)</f>
        <v>29459752</v>
      </c>
      <c r="M17" s="38"/>
      <c r="N17" s="38">
        <f>SUM(N6:N15)</f>
        <v>72440.076000000001</v>
      </c>
      <c r="O17" s="38">
        <f>SUM(O6:O15)</f>
        <v>57952.060799999992</v>
      </c>
      <c r="P17" s="38">
        <f>SUM(P6:P15)</f>
        <v>893427.60400000005</v>
      </c>
      <c r="Q17" s="38">
        <f>SUM(Q6:Q15)</f>
        <v>482933.84</v>
      </c>
      <c r="R17" s="38">
        <f>SUM(R6:R15)</f>
        <v>1178390.08</v>
      </c>
      <c r="S17" s="38">
        <f>SUM(S6:S15)</f>
        <v>0</v>
      </c>
      <c r="T17" s="38">
        <f>SUM(T6:T15)</f>
        <v>500000</v>
      </c>
      <c r="U17" s="38">
        <f>SUM(U6:U15)</f>
        <v>1121052.6315789474</v>
      </c>
      <c r="V17" s="38">
        <f>SUM(V6:V15)</f>
        <v>0</v>
      </c>
      <c r="W17" s="38">
        <f>SUM(W6:W15)</f>
        <v>0</v>
      </c>
      <c r="X17" s="38">
        <f>SUM(X6:X15)</f>
        <v>0</v>
      </c>
      <c r="Y17" s="38">
        <f>SUM(Y6:Y15)</f>
        <v>28452888.292378947</v>
      </c>
      <c r="Z17" s="38">
        <f>SUM(Z6:Z15)</f>
        <v>72440.076000000001</v>
      </c>
      <c r="AA17" s="38">
        <f>SUM(AA6:AA15)</f>
        <v>57952.060799999992</v>
      </c>
      <c r="AB17" s="38">
        <f>SUM(AB6:AB15)</f>
        <v>482933.84</v>
      </c>
      <c r="AC17" s="38">
        <f>SUM(AC6:AC15)</f>
        <v>893427.60400000005</v>
      </c>
      <c r="AD17" s="38">
        <f>SUM(AD6:AD15)</f>
        <v>482933.84</v>
      </c>
      <c r="AE17" s="38">
        <f>SUM(AE6:AE15)</f>
        <v>241466.92</v>
      </c>
      <c r="AF17" s="38">
        <f>SUM(AF6:AF15)</f>
        <v>1178390.08</v>
      </c>
      <c r="AG17" s="38">
        <f>SUM(AG6:AG15)</f>
        <v>294597.52</v>
      </c>
      <c r="AH17" s="38">
        <f>SUM(AH6:AH15)</f>
        <v>0</v>
      </c>
      <c r="AI17" s="38">
        <f>SUM(AI6:AI15)</f>
        <v>0</v>
      </c>
      <c r="AJ17" s="38">
        <f>SUM(AJ6:AJ15)</f>
        <v>3704141.9408</v>
      </c>
      <c r="AK17" s="38">
        <f>SUM(AK6:AK15)</f>
        <v>394406</v>
      </c>
      <c r="AL17" s="38">
        <f>SUM(AL6:AL15)</f>
        <v>0</v>
      </c>
      <c r="AM17" s="38">
        <f>SUM(AM6:AM15)</f>
        <v>24354340.351578943</v>
      </c>
      <c r="AN17" s="31"/>
      <c r="AO17" s="31"/>
      <c r="AP17" s="31"/>
      <c r="AQ17" s="31"/>
      <c r="AR17" s="31"/>
      <c r="AS17" s="31"/>
      <c r="AT17" s="31"/>
      <c r="AU17" s="38">
        <f t="shared" ref="AU17:AV17" si="27">SUM(AU6:AU15)</f>
        <v>394406</v>
      </c>
      <c r="AV17" s="38">
        <f t="shared" si="27"/>
        <v>27076526.848378949</v>
      </c>
    </row>
    <row r="18" spans="1:52" x14ac:dyDescent="0.35"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85"/>
      <c r="AJ18" s="2"/>
      <c r="AK18" s="2"/>
      <c r="AL18" s="2"/>
      <c r="AM18" s="2"/>
    </row>
    <row r="19" spans="1:52" x14ac:dyDescent="0.35"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85"/>
      <c r="AJ19" s="2"/>
      <c r="AK19" s="2"/>
      <c r="AL19" s="2"/>
      <c r="AM19" s="2"/>
      <c r="AW19" s="74"/>
      <c r="AX19" s="73"/>
      <c r="AZ19" s="2"/>
    </row>
    <row r="20" spans="1:52" x14ac:dyDescent="0.35"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85"/>
      <c r="AJ20" s="2"/>
      <c r="AK20" s="2"/>
      <c r="AL20" s="2"/>
      <c r="AM20" s="2"/>
      <c r="AW20" s="74"/>
      <c r="AX20" s="73"/>
      <c r="AZ20" s="2"/>
    </row>
    <row r="21" spans="1:52" x14ac:dyDescent="0.35"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85"/>
      <c r="AJ21" s="2"/>
      <c r="AK21" s="2"/>
      <c r="AL21" s="2"/>
      <c r="AM21" s="2"/>
      <c r="AZ21" s="2"/>
    </row>
    <row r="22" spans="1:52" x14ac:dyDescent="0.35"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85"/>
      <c r="AJ22" s="2"/>
      <c r="AK22" s="2"/>
      <c r="AL22" s="2"/>
      <c r="AM22" s="2"/>
      <c r="AZ22" s="2"/>
    </row>
    <row r="23" spans="1:52" x14ac:dyDescent="0.35"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90" t="s">
        <v>138</v>
      </c>
      <c r="AH23" s="90">
        <v>5161769</v>
      </c>
      <c r="AI23" s="85"/>
      <c r="AJ23" s="2"/>
      <c r="AK23" s="2"/>
      <c r="AL23" s="2"/>
      <c r="AM23" s="2"/>
    </row>
    <row r="24" spans="1:52" x14ac:dyDescent="0.35"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85"/>
      <c r="AJ24" s="2"/>
      <c r="AK24" s="2"/>
      <c r="AL24" s="2"/>
      <c r="AM24" s="2"/>
    </row>
    <row r="25" spans="1:52" x14ac:dyDescent="0.35">
      <c r="L25" s="2">
        <v>5161769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85"/>
      <c r="AJ25" s="2"/>
      <c r="AK25" s="2"/>
      <c r="AL25" s="2"/>
      <c r="AM25" s="2"/>
    </row>
    <row r="26" spans="1:52" x14ac:dyDescent="0.35"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85"/>
      <c r="AJ26" s="2"/>
      <c r="AK26" s="2"/>
      <c r="AL26" s="2"/>
      <c r="AM26" s="2"/>
    </row>
    <row r="27" spans="1:52" x14ac:dyDescent="0.35"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85"/>
      <c r="AJ27" s="2"/>
      <c r="AK27" s="2"/>
      <c r="AL27" s="2"/>
      <c r="AM27" s="2"/>
    </row>
    <row r="28" spans="1:52" x14ac:dyDescent="0.35"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85"/>
      <c r="AJ28" s="2"/>
      <c r="AK28" s="2"/>
      <c r="AL28" s="2"/>
      <c r="AM28" s="2"/>
    </row>
    <row r="29" spans="1:52" x14ac:dyDescent="0.35"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85"/>
      <c r="AJ29" s="2"/>
      <c r="AK29" s="2"/>
      <c r="AL29" s="2"/>
      <c r="AM29" s="2"/>
    </row>
    <row r="30" spans="1:52" x14ac:dyDescent="0.35"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85"/>
      <c r="AJ30" s="2"/>
      <c r="AK30" s="2"/>
      <c r="AL30" s="2"/>
      <c r="AM30" s="2"/>
    </row>
    <row r="31" spans="1:52" x14ac:dyDescent="0.35"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85"/>
      <c r="AJ31" s="2"/>
      <c r="AK31" s="2"/>
      <c r="AL31" s="2"/>
      <c r="AM31" s="2"/>
    </row>
    <row r="32" spans="1:52" x14ac:dyDescent="0.35"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85"/>
      <c r="AJ32" s="2"/>
      <c r="AK32" s="2"/>
      <c r="AL32" s="2"/>
      <c r="AM32" s="2"/>
    </row>
    <row r="33" spans="12:39" x14ac:dyDescent="0.35"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85"/>
      <c r="AJ33" s="2"/>
      <c r="AK33" s="2"/>
      <c r="AL33" s="2"/>
      <c r="AM33" s="2"/>
    </row>
    <row r="34" spans="12:39" x14ac:dyDescent="0.35"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85"/>
      <c r="AJ34" s="2"/>
      <c r="AK34" s="2"/>
      <c r="AL34" s="2"/>
      <c r="AM34" s="2"/>
    </row>
    <row r="35" spans="12:39" x14ac:dyDescent="0.35"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85"/>
      <c r="AJ35" s="2"/>
      <c r="AK35" s="2"/>
      <c r="AL35" s="2"/>
      <c r="AM35" s="2"/>
    </row>
    <row r="36" spans="12:39" x14ac:dyDescent="0.35"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85"/>
      <c r="AJ36" s="2"/>
      <c r="AK36" s="2"/>
      <c r="AL36" s="2"/>
      <c r="AM36" s="2"/>
    </row>
    <row r="37" spans="12:39" x14ac:dyDescent="0.35"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85"/>
      <c r="AJ37" s="2"/>
      <c r="AK37" s="2"/>
      <c r="AL37" s="2"/>
      <c r="AM37" s="2"/>
    </row>
    <row r="38" spans="12:39" x14ac:dyDescent="0.35"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85"/>
      <c r="AJ38" s="2"/>
      <c r="AK38" s="2"/>
      <c r="AL38" s="2"/>
      <c r="AM38" s="2"/>
    </row>
    <row r="39" spans="12:39" x14ac:dyDescent="0.35"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85"/>
      <c r="AJ39" s="2"/>
      <c r="AK39" s="2"/>
      <c r="AL39" s="2"/>
      <c r="AM39" s="2"/>
    </row>
    <row r="40" spans="12:39" x14ac:dyDescent="0.35"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85"/>
      <c r="AJ40" s="2"/>
      <c r="AK40" s="2"/>
      <c r="AL40" s="2"/>
      <c r="AM40" s="2"/>
    </row>
    <row r="41" spans="12:39" x14ac:dyDescent="0.35"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85"/>
      <c r="AJ41" s="2"/>
      <c r="AK41" s="2"/>
      <c r="AL41" s="2"/>
      <c r="AM41" s="2"/>
    </row>
    <row r="42" spans="12:39" x14ac:dyDescent="0.35"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85"/>
      <c r="AJ42" s="2"/>
      <c r="AK42" s="2"/>
      <c r="AL42" s="2"/>
      <c r="AM42" s="2"/>
    </row>
    <row r="43" spans="12:39" x14ac:dyDescent="0.35"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85"/>
      <c r="AJ43" s="2"/>
      <c r="AK43" s="2"/>
      <c r="AL43" s="2"/>
      <c r="AM43" s="2"/>
    </row>
    <row r="44" spans="12:39" x14ac:dyDescent="0.35"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85"/>
      <c r="AJ44" s="2"/>
      <c r="AK44" s="2"/>
      <c r="AL44" s="2"/>
      <c r="AM44" s="2"/>
    </row>
    <row r="45" spans="12:39" x14ac:dyDescent="0.35"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85"/>
      <c r="AJ45" s="2"/>
      <c r="AK45" s="2"/>
      <c r="AL45" s="2"/>
      <c r="AM45" s="2"/>
    </row>
    <row r="46" spans="12:39" x14ac:dyDescent="0.35"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85"/>
      <c r="AJ46" s="2"/>
      <c r="AK46" s="2"/>
      <c r="AL46" s="2"/>
      <c r="AM46" s="2"/>
    </row>
    <row r="47" spans="12:39" x14ac:dyDescent="0.35"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85"/>
      <c r="AJ47" s="2"/>
      <c r="AK47" s="2"/>
      <c r="AL47" s="2"/>
      <c r="AM47" s="2"/>
    </row>
    <row r="48" spans="12:39" x14ac:dyDescent="0.35"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85"/>
      <c r="AJ48" s="2"/>
      <c r="AK48" s="2"/>
      <c r="AL48" s="2"/>
      <c r="AM48" s="2"/>
    </row>
    <row r="49" spans="12:39" x14ac:dyDescent="0.35"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85"/>
      <c r="AJ49" s="2"/>
      <c r="AK49" s="2"/>
      <c r="AL49" s="2"/>
      <c r="AM49" s="2"/>
    </row>
    <row r="50" spans="12:39" x14ac:dyDescent="0.35"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85"/>
      <c r="AJ50" s="2"/>
      <c r="AK50" s="2"/>
      <c r="AL50" s="2"/>
      <c r="AM50" s="2"/>
    </row>
    <row r="51" spans="12:39" x14ac:dyDescent="0.35"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85"/>
      <c r="AJ51" s="2"/>
      <c r="AK51" s="2"/>
      <c r="AL51" s="2"/>
      <c r="AM51" s="2"/>
    </row>
    <row r="52" spans="12:39" x14ac:dyDescent="0.35"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85"/>
      <c r="AJ52" s="2"/>
      <c r="AK52" s="2"/>
      <c r="AL52" s="2"/>
      <c r="AM52" s="2"/>
    </row>
    <row r="53" spans="12:39" x14ac:dyDescent="0.35"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85"/>
      <c r="AJ53" s="2"/>
      <c r="AK53" s="2"/>
      <c r="AL53" s="2"/>
      <c r="AM53" s="2"/>
    </row>
    <row r="54" spans="12:39" x14ac:dyDescent="0.35"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85"/>
      <c r="AJ54" s="2"/>
      <c r="AK54" s="2"/>
      <c r="AL54" s="2"/>
      <c r="AM54" s="2"/>
    </row>
    <row r="55" spans="12:39" x14ac:dyDescent="0.35"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85"/>
      <c r="AJ55" s="2"/>
      <c r="AK55" s="2"/>
      <c r="AL55" s="2"/>
      <c r="AM55" s="2"/>
    </row>
    <row r="56" spans="12:39" x14ac:dyDescent="0.35"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85"/>
      <c r="AJ56" s="2"/>
      <c r="AK56" s="2"/>
      <c r="AL56" s="2"/>
      <c r="AM56" s="2"/>
    </row>
    <row r="57" spans="12:39" x14ac:dyDescent="0.35"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85"/>
      <c r="AJ57" s="2"/>
      <c r="AK57" s="2"/>
      <c r="AL57" s="2"/>
      <c r="AM57" s="2"/>
    </row>
    <row r="58" spans="12:39" x14ac:dyDescent="0.35"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85"/>
      <c r="AJ58" s="2"/>
      <c r="AK58" s="2"/>
      <c r="AL58" s="2"/>
      <c r="AM58" s="2"/>
    </row>
    <row r="59" spans="12:39" x14ac:dyDescent="0.35"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85"/>
      <c r="AJ59" s="2"/>
      <c r="AK59" s="2"/>
      <c r="AL59" s="2"/>
      <c r="AM59" s="2"/>
    </row>
    <row r="60" spans="12:39" x14ac:dyDescent="0.35"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85"/>
      <c r="AJ60" s="2"/>
      <c r="AK60" s="2"/>
      <c r="AL60" s="2"/>
      <c r="AM60" s="2"/>
    </row>
    <row r="61" spans="12:39" x14ac:dyDescent="0.35"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85"/>
      <c r="AJ61" s="2"/>
      <c r="AK61" s="2"/>
      <c r="AL61" s="2"/>
      <c r="AM61" s="2"/>
    </row>
    <row r="62" spans="12:39" x14ac:dyDescent="0.35"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85"/>
      <c r="AJ62" s="2"/>
      <c r="AK62" s="2"/>
      <c r="AL62" s="2"/>
      <c r="AM62" s="2"/>
    </row>
    <row r="63" spans="12:39" x14ac:dyDescent="0.35"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85"/>
      <c r="AJ63" s="2"/>
      <c r="AK63" s="2"/>
      <c r="AL63" s="2"/>
      <c r="AM63" s="2"/>
    </row>
    <row r="64" spans="12:39" x14ac:dyDescent="0.35"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85"/>
      <c r="AJ64" s="2"/>
      <c r="AK64" s="2"/>
      <c r="AL64" s="2"/>
      <c r="AM64" s="2"/>
    </row>
    <row r="65" spans="12:39" x14ac:dyDescent="0.35"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85"/>
      <c r="AJ65" s="2"/>
      <c r="AK65" s="2"/>
      <c r="AL65" s="2"/>
      <c r="AM65" s="2"/>
    </row>
    <row r="66" spans="12:39" x14ac:dyDescent="0.35"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85"/>
      <c r="AJ66" s="2"/>
      <c r="AK66" s="2"/>
      <c r="AL66" s="2"/>
      <c r="AM66" s="2"/>
    </row>
    <row r="67" spans="12:39" x14ac:dyDescent="0.35"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85"/>
      <c r="AJ67" s="2"/>
      <c r="AK67" s="2"/>
      <c r="AL67" s="2"/>
      <c r="AM67" s="2"/>
    </row>
  </sheetData>
  <mergeCells count="2">
    <mergeCell ref="BD4:BG4"/>
    <mergeCell ref="AF1:AG1"/>
  </mergeCells>
  <dataValidations count="1">
    <dataValidation type="list" allowBlank="1" showInputMessage="1" showErrorMessage="1" sqref="AX6:AY16" xr:uid="{00000000-0002-0000-0300-000000000000}">
      <formula1>"Terdaftar, Belum Terdaftar"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TER!$G$6:$G$17</xm:f>
          </x14:formula1>
          <xm:sqref>AR6:AR16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45"/>
  <sheetViews>
    <sheetView showGridLines="0" zoomScale="70" zoomScaleNormal="70" workbookViewId="0">
      <selection activeCell="C23" sqref="C23"/>
    </sheetView>
  </sheetViews>
  <sheetFormatPr defaultRowHeight="14.5" x14ac:dyDescent="0.35"/>
  <cols>
    <col min="1" max="1" width="14.08984375" customWidth="1"/>
    <col min="2" max="2" width="2.08984375" customWidth="1"/>
    <col min="3" max="3" width="23.36328125" customWidth="1"/>
    <col min="5" max="5" width="23.7265625" bestFit="1" customWidth="1"/>
    <col min="6" max="6" width="2.26953125" customWidth="1"/>
    <col min="8" max="8" width="15.54296875" customWidth="1"/>
    <col min="9" max="9" width="7.54296875" customWidth="1"/>
    <col min="10" max="10" width="2.36328125" customWidth="1"/>
    <col min="11" max="11" width="21" customWidth="1"/>
    <col min="12" max="12" width="39.81640625" customWidth="1"/>
    <col min="15" max="15" width="14.81640625" bestFit="1" customWidth="1"/>
  </cols>
  <sheetData>
    <row r="1" spans="1:12" x14ac:dyDescent="0.35">
      <c r="A1" s="93" t="s">
        <v>102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x14ac:dyDescent="0.35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x14ac:dyDescent="0.3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2" x14ac:dyDescent="0.35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x14ac:dyDescent="0.35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x14ac:dyDescent="0.35">
      <c r="A6" s="57" t="s">
        <v>103</v>
      </c>
      <c r="B6" s="58" t="s">
        <v>104</v>
      </c>
      <c r="C6" s="59" t="str">
        <f>Salary!$A$1</f>
        <v>PT. Kalapa Teknologi Putera</v>
      </c>
      <c r="D6" s="59"/>
      <c r="E6" s="57"/>
      <c r="F6" s="57"/>
      <c r="G6" s="57" t="s">
        <v>105</v>
      </c>
      <c r="H6" s="57"/>
      <c r="I6" s="57"/>
      <c r="J6" s="58" t="s">
        <v>104</v>
      </c>
      <c r="K6" s="59" t="str">
        <f>IFERROR(VLOOKUP($C$8,Salary!$B$6:$BG$16,38,FALSE),"")</f>
        <v/>
      </c>
      <c r="L6" s="57"/>
    </row>
    <row r="7" spans="1:12" x14ac:dyDescent="0.35">
      <c r="A7" s="57" t="s">
        <v>106</v>
      </c>
      <c r="B7" s="58" t="s">
        <v>104</v>
      </c>
      <c r="C7" s="60">
        <f>Salary!$B$2</f>
        <v>46113</v>
      </c>
      <c r="D7" s="59"/>
      <c r="E7" s="57"/>
      <c r="F7" s="57"/>
      <c r="G7" s="57" t="s">
        <v>107</v>
      </c>
      <c r="H7" s="57"/>
      <c r="I7" s="57"/>
      <c r="J7" s="58" t="s">
        <v>104</v>
      </c>
      <c r="K7" s="59" t="str">
        <f>IFERROR(VLOOKUP($C$8,Salary!$B$6:$BG$16,40,FALSE),"")</f>
        <v/>
      </c>
      <c r="L7" s="57"/>
    </row>
    <row r="8" spans="1:12" x14ac:dyDescent="0.35">
      <c r="A8" s="57" t="s">
        <v>108</v>
      </c>
      <c r="B8" s="58" t="s">
        <v>104</v>
      </c>
      <c r="C8" s="59" t="s">
        <v>144</v>
      </c>
      <c r="D8" s="59"/>
      <c r="E8" s="57"/>
      <c r="F8" s="57"/>
      <c r="G8" s="57" t="s">
        <v>109</v>
      </c>
      <c r="H8" s="57"/>
      <c r="I8" s="57"/>
      <c r="J8" s="58" t="s">
        <v>104</v>
      </c>
      <c r="K8" s="71" t="str">
        <f>IFERROR(VLOOKUP($C$8,Salary!$B$6:$BG$16,41,FALSE),"")</f>
        <v/>
      </c>
      <c r="L8" s="57"/>
    </row>
    <row r="9" spans="1:12" x14ac:dyDescent="0.35">
      <c r="A9" s="57" t="s">
        <v>110</v>
      </c>
      <c r="B9" s="58" t="s">
        <v>104</v>
      </c>
      <c r="C9" s="59" t="str">
        <f>IFERROR(VLOOKUP($C$8,Salary!$B$6:$BG$16,5,FALSE),"")</f>
        <v/>
      </c>
      <c r="D9" s="59"/>
      <c r="E9" s="57"/>
      <c r="F9" s="57"/>
      <c r="G9" s="57"/>
      <c r="H9" s="57"/>
      <c r="I9" s="57"/>
      <c r="J9" s="57"/>
      <c r="K9" s="57"/>
      <c r="L9" s="57"/>
    </row>
    <row r="10" spans="1:12" x14ac:dyDescent="0.35">
      <c r="A10" s="57" t="s">
        <v>135</v>
      </c>
      <c r="B10" s="58" t="s">
        <v>104</v>
      </c>
      <c r="C10" s="59" t="str">
        <f>IFERROR(VLOOKUP($C$8,Salary!$B$6:$BG$16,6,FALSE),"")</f>
        <v/>
      </c>
      <c r="D10" s="59"/>
      <c r="E10" s="57"/>
      <c r="F10" s="57"/>
      <c r="G10" s="57"/>
      <c r="H10" s="57"/>
      <c r="I10" s="57"/>
      <c r="J10" s="57"/>
      <c r="K10" s="57"/>
      <c r="L10" s="57"/>
    </row>
    <row r="11" spans="1:12" x14ac:dyDescent="0.35">
      <c r="A11" s="57" t="s">
        <v>111</v>
      </c>
      <c r="B11" s="58" t="s">
        <v>104</v>
      </c>
      <c r="C11" s="59" t="str">
        <f>IFERROR(VLOOKUP($C$8,Salary!$B$6:$BG$16,2,FALSE),"")</f>
        <v/>
      </c>
      <c r="D11" s="59"/>
      <c r="E11" s="57"/>
      <c r="F11" s="57"/>
      <c r="G11" s="57"/>
      <c r="H11" s="57"/>
      <c r="I11" s="57"/>
      <c r="J11" s="57"/>
      <c r="K11" s="57"/>
      <c r="L11" s="57"/>
    </row>
    <row r="12" spans="1:12" x14ac:dyDescent="0.3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</row>
    <row r="13" spans="1:12" x14ac:dyDescent="0.3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 x14ac:dyDescent="0.35">
      <c r="A14" s="61" t="s">
        <v>112</v>
      </c>
      <c r="B14" s="58"/>
      <c r="C14" s="57"/>
      <c r="D14" s="57"/>
      <c r="E14" s="57"/>
      <c r="F14" s="57"/>
      <c r="G14" s="61" t="s">
        <v>113</v>
      </c>
      <c r="H14" s="51"/>
      <c r="I14" s="57"/>
      <c r="J14" s="57"/>
      <c r="K14" s="57"/>
      <c r="L14" s="57"/>
    </row>
    <row r="15" spans="1:12" x14ac:dyDescent="0.35">
      <c r="A15" s="57" t="s">
        <v>114</v>
      </c>
      <c r="B15" s="57"/>
      <c r="C15" s="57"/>
      <c r="D15" s="57"/>
      <c r="E15" s="62">
        <f>IFERROR(VLOOKUP($C$8,Salary!$B$6:$BG$16,11,FALSE),0)</f>
        <v>0</v>
      </c>
      <c r="F15" s="57"/>
      <c r="G15" s="63" t="s">
        <v>115</v>
      </c>
      <c r="H15" s="52"/>
      <c r="I15" s="57"/>
      <c r="J15" s="57"/>
      <c r="K15" s="57"/>
      <c r="L15" s="57"/>
    </row>
    <row r="16" spans="1:12" x14ac:dyDescent="0.35">
      <c r="A16" s="63" t="s">
        <v>116</v>
      </c>
      <c r="B16" s="57"/>
      <c r="C16" s="57"/>
      <c r="D16" s="57"/>
      <c r="E16" s="62"/>
      <c r="F16" s="57"/>
      <c r="G16" s="58" t="s">
        <v>117</v>
      </c>
      <c r="H16" s="57"/>
      <c r="I16" s="57"/>
      <c r="J16" s="57"/>
      <c r="K16" s="57"/>
      <c r="L16" s="64">
        <f>IFERROR(VLOOKUP($C$8,Salary!$B$6:$BG$16,27,FALSE),0)</f>
        <v>0</v>
      </c>
    </row>
    <row r="17" spans="1:15" x14ac:dyDescent="0.35">
      <c r="A17" s="58" t="s">
        <v>117</v>
      </c>
      <c r="B17" s="57"/>
      <c r="C17" s="57"/>
      <c r="D17" s="57"/>
      <c r="E17" s="53">
        <f>IFERROR(VLOOKUP($C$8,Salary!$B$6:$BG$16,14,FALSE),0)</f>
        <v>0</v>
      </c>
      <c r="F17" s="54"/>
      <c r="G17" s="57" t="s">
        <v>118</v>
      </c>
      <c r="H17" s="57"/>
      <c r="I17" s="57"/>
      <c r="J17" s="57"/>
      <c r="K17" s="57"/>
      <c r="L17" s="64">
        <f>IFERROR(VLOOKUP($C$8,Salary!$B$6:$BG$16,24,FALSE),0)</f>
        <v>0</v>
      </c>
    </row>
    <row r="18" spans="1:15" x14ac:dyDescent="0.35">
      <c r="A18" s="57" t="s">
        <v>118</v>
      </c>
      <c r="B18" s="57"/>
      <c r="C18" s="57"/>
      <c r="D18" s="57"/>
      <c r="E18" s="53">
        <f>IFERROR(VLOOKUP($C$8,Salary!$B$6:$BG$16,12,FALSE),0)</f>
        <v>0</v>
      </c>
      <c r="F18" s="55"/>
      <c r="G18" s="57" t="s">
        <v>119</v>
      </c>
      <c r="H18" s="57"/>
      <c r="I18" s="57"/>
      <c r="J18" s="57"/>
      <c r="K18" s="57"/>
      <c r="L18" s="64">
        <f>IFERROR(VLOOKUP($C$8,Salary!$B$6:$BG$16,25,FALSE),0)</f>
        <v>0</v>
      </c>
    </row>
    <row r="19" spans="1:15" x14ac:dyDescent="0.35">
      <c r="A19" s="57" t="s">
        <v>119</v>
      </c>
      <c r="B19" s="57"/>
      <c r="C19" s="57"/>
      <c r="D19" s="57"/>
      <c r="E19" s="53">
        <f>IFERROR(VLOOKUP($C$8,Salary!$B$6:$BG$16,13,FALSE),0)</f>
        <v>0</v>
      </c>
      <c r="F19" s="55"/>
      <c r="G19" s="57" t="s">
        <v>120</v>
      </c>
      <c r="H19" s="57"/>
      <c r="I19" s="57"/>
      <c r="J19" s="57"/>
      <c r="K19" s="57"/>
      <c r="L19" s="64">
        <f>IFERROR(VLOOKUP($C$8,Salary!$B$6:$BG$16,28,FALSE),0)</f>
        <v>0</v>
      </c>
    </row>
    <row r="20" spans="1:15" x14ac:dyDescent="0.35">
      <c r="A20" s="57" t="s">
        <v>120</v>
      </c>
      <c r="B20" s="57"/>
      <c r="C20" s="57"/>
      <c r="D20" s="57"/>
      <c r="E20" s="53">
        <f>IFERROR(VLOOKUP($C$8,Salary!$B$6:$BG$16,15,FALSE),0)</f>
        <v>0</v>
      </c>
      <c r="F20" s="55"/>
      <c r="G20" s="63" t="s">
        <v>121</v>
      </c>
      <c r="H20" s="52"/>
      <c r="I20" s="57"/>
      <c r="J20" s="57"/>
      <c r="K20" s="57"/>
      <c r="L20" s="64"/>
    </row>
    <row r="21" spans="1:15" x14ac:dyDescent="0.35">
      <c r="A21" s="63" t="s">
        <v>122</v>
      </c>
      <c r="B21" s="57"/>
      <c r="C21" s="57"/>
      <c r="D21" s="57"/>
      <c r="E21" s="53">
        <f>IFERROR(VLOOKUP($C$8,Salary!$B$6:$BG$16,16,FALSE),0)</f>
        <v>0</v>
      </c>
      <c r="F21" s="55"/>
      <c r="G21" s="58" t="s">
        <v>117</v>
      </c>
      <c r="H21" s="57"/>
      <c r="I21" s="57"/>
      <c r="J21" s="57"/>
      <c r="K21" s="57"/>
      <c r="L21" s="64">
        <f>IFERROR(VLOOKUP($C$8,Salary!$B$6:$BG$16,26,FALSE),0)</f>
        <v>0</v>
      </c>
    </row>
    <row r="22" spans="1:15" x14ac:dyDescent="0.35">
      <c r="A22" s="63" t="s">
        <v>143</v>
      </c>
      <c r="B22" s="57"/>
      <c r="C22" s="57"/>
      <c r="D22" s="57"/>
      <c r="E22" s="53">
        <f>IFERROR(VLOOKUP($C$8,Salary!$B$6:$BG$16,18,FALSE),0)</f>
        <v>0</v>
      </c>
      <c r="F22" s="57"/>
      <c r="G22" s="57" t="s">
        <v>120</v>
      </c>
      <c r="H22" s="57"/>
      <c r="I22" s="57"/>
      <c r="J22" s="57"/>
      <c r="K22" s="57"/>
      <c r="L22" s="64">
        <f>IFERROR(VLOOKUP($C$8,Salary!$B$6:$BG$16,29,FALSE),0)</f>
        <v>0</v>
      </c>
    </row>
    <row r="23" spans="1:15" x14ac:dyDescent="0.35">
      <c r="A23" s="57" t="s">
        <v>123</v>
      </c>
      <c r="B23" s="52"/>
      <c r="C23" s="57"/>
      <c r="D23" s="57"/>
      <c r="E23" s="53">
        <f>IFERROR(VLOOKUP($C$8,Salary!$B$6:$BG$16,22,FALSE),0)</f>
        <v>0</v>
      </c>
      <c r="F23" s="57"/>
      <c r="G23" s="63" t="s">
        <v>125</v>
      </c>
      <c r="H23" s="57"/>
      <c r="I23" s="57"/>
      <c r="J23" s="57"/>
      <c r="K23" s="57"/>
      <c r="L23" s="64">
        <f>IFERROR(VLOOKUP($C$8,Salary!$B$6:$BG$16,30,FALSE),0)</f>
        <v>0</v>
      </c>
    </row>
    <row r="24" spans="1:15" x14ac:dyDescent="0.35">
      <c r="A24" s="63" t="s">
        <v>124</v>
      </c>
      <c r="B24" s="57"/>
      <c r="C24" s="57"/>
      <c r="D24" s="57"/>
      <c r="E24" s="53">
        <f>IFERROR(VLOOKUP($C$8,Salary!$B$6:$BG$16,21,FALSE),0)</f>
        <v>0</v>
      </c>
      <c r="F24" s="57"/>
      <c r="G24" s="63" t="s">
        <v>126</v>
      </c>
      <c r="H24" s="57"/>
      <c r="I24" s="57"/>
      <c r="J24" s="57"/>
      <c r="K24" s="57"/>
      <c r="L24" s="64">
        <f>IFERROR(VLOOKUP($C$8,Salary!$B$6:$BG$16,31,FALSE),0)</f>
        <v>0</v>
      </c>
    </row>
    <row r="25" spans="1:15" x14ac:dyDescent="0.35">
      <c r="A25" s="57" t="s">
        <v>140</v>
      </c>
      <c r="B25" s="57"/>
      <c r="C25" s="57"/>
      <c r="D25" s="57"/>
      <c r="E25" s="64" t="e">
        <f>VLOOKUP(C8,Salary!$B$6:$S$16,17,0)+VLOOKUP(C8,Salary!$B$6:$V$16,20,0)</f>
        <v>#N/A</v>
      </c>
      <c r="F25" s="57"/>
      <c r="G25" s="57" t="s">
        <v>127</v>
      </c>
      <c r="H25" s="52"/>
      <c r="I25" s="57"/>
      <c r="J25" s="57"/>
      <c r="K25" s="57"/>
      <c r="L25" s="64">
        <f>IFERROR(VLOOKUP($C$8,Salary!$B$6:$BG$16,32,FALSE),0)</f>
        <v>0</v>
      </c>
    </row>
    <row r="26" spans="1:15" x14ac:dyDescent="0.35">
      <c r="A26" s="57"/>
      <c r="B26" s="57"/>
      <c r="C26" s="57"/>
      <c r="D26" s="57"/>
      <c r="E26" s="62"/>
      <c r="F26" s="57"/>
      <c r="G26" s="57" t="s">
        <v>139</v>
      </c>
      <c r="H26" s="57"/>
      <c r="I26" s="57"/>
      <c r="J26" s="57"/>
      <c r="K26" s="57"/>
      <c r="L26" s="64" t="e">
        <f>VLOOKUP($C$8,Salary!$B$6:$AI$16,33,0)</f>
        <v>#N/A</v>
      </c>
    </row>
    <row r="27" spans="1:15" x14ac:dyDescent="0.35">
      <c r="A27" s="57"/>
      <c r="B27" s="57"/>
      <c r="C27" s="57"/>
      <c r="D27" s="57"/>
      <c r="E27" s="62"/>
      <c r="F27" s="57"/>
      <c r="G27" s="57"/>
      <c r="H27" s="57"/>
      <c r="I27" s="57"/>
      <c r="J27" s="57"/>
      <c r="K27" s="57"/>
      <c r="L27" s="62"/>
    </row>
    <row r="28" spans="1:15" x14ac:dyDescent="0.35">
      <c r="A28" s="65" t="s">
        <v>128</v>
      </c>
      <c r="B28" s="59"/>
      <c r="C28" s="59"/>
      <c r="D28" s="59"/>
      <c r="E28" s="66" t="e">
        <f>SUM(E15:E26)</f>
        <v>#N/A</v>
      </c>
      <c r="F28" s="57"/>
      <c r="G28" s="65" t="s">
        <v>129</v>
      </c>
      <c r="H28" s="56"/>
      <c r="I28" s="67"/>
      <c r="J28" s="59"/>
      <c r="K28" s="59"/>
      <c r="L28" s="66" t="e">
        <f>SUM(L15:L26)</f>
        <v>#N/A</v>
      </c>
      <c r="O28" s="87"/>
    </row>
    <row r="29" spans="1:15" ht="7.9" customHeight="1" x14ac:dyDescent="0.3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</row>
    <row r="30" spans="1:15" x14ac:dyDescent="0.35">
      <c r="A30" s="57"/>
      <c r="B30" s="57"/>
      <c r="C30" s="57"/>
      <c r="D30" s="57"/>
      <c r="E30" s="57"/>
      <c r="F30" s="57"/>
      <c r="G30" s="65" t="s">
        <v>130</v>
      </c>
      <c r="H30" s="56"/>
      <c r="I30" s="67"/>
      <c r="J30" s="59"/>
      <c r="K30" s="59"/>
      <c r="L30" s="66">
        <f>IFERROR(VLOOKUP($C$8,Salary!$B$6:$BG$16,35,FALSE),0)</f>
        <v>0</v>
      </c>
    </row>
    <row r="31" spans="1:15" ht="8" customHeight="1" x14ac:dyDescent="0.35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</row>
    <row r="32" spans="1:15" ht="15.5" customHeight="1" x14ac:dyDescent="0.3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</row>
    <row r="33" spans="1:12" x14ac:dyDescent="0.35">
      <c r="A33" s="68" t="s">
        <v>131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77" t="e">
        <f>IF(E28-L28-L30=IFERROR(VLOOKUP($C$8,Salary!$B$6:$BG$16,37,FALSE),0),E28-L28-L30,"C H E C K")</f>
        <v>#N/A</v>
      </c>
    </row>
    <row r="34" spans="1:12" x14ac:dyDescent="0.3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</row>
    <row r="35" spans="1:12" x14ac:dyDescent="0.35">
      <c r="A35" s="69" t="s">
        <v>132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</row>
    <row r="36" spans="1:12" x14ac:dyDescent="0.35">
      <c r="A36" s="69">
        <v>1</v>
      </c>
      <c r="B36" s="57" t="str">
        <f>"Jumlah Hari Kerja "&amp;TEXT($C$7,"MMMM")&amp;" = "&amp;TEXT(Salary!$B$3,"00")&amp;" Hari"</f>
        <v>Jumlah Hari Kerja April = 19 Hari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</row>
    <row r="37" spans="1:12" x14ac:dyDescent="0.35">
      <c r="A37" s="69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</row>
    <row r="38" spans="1:12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</row>
    <row r="39" spans="1:12" x14ac:dyDescent="0.35">
      <c r="A39" s="61"/>
      <c r="B39" s="61"/>
      <c r="C39" s="61"/>
      <c r="D39" s="61"/>
      <c r="E39" s="57"/>
      <c r="F39" s="57"/>
      <c r="G39" s="57"/>
      <c r="H39" s="70"/>
      <c r="I39" s="57"/>
      <c r="J39" s="57"/>
      <c r="K39" s="57"/>
      <c r="L39" s="57"/>
    </row>
    <row r="40" spans="1:12" x14ac:dyDescent="0.35">
      <c r="A40" s="61" t="s">
        <v>133</v>
      </c>
      <c r="B40" s="57"/>
      <c r="C40" s="57"/>
      <c r="D40" s="57"/>
      <c r="E40" s="57"/>
      <c r="F40" s="57"/>
      <c r="G40" s="57"/>
      <c r="H40" s="61"/>
      <c r="I40" s="57"/>
      <c r="J40" s="57"/>
      <c r="K40" s="57"/>
      <c r="L40" s="57"/>
    </row>
    <row r="41" spans="1:12" x14ac:dyDescent="0.35">
      <c r="A41" s="61"/>
      <c r="B41" s="57"/>
      <c r="C41" s="57"/>
      <c r="D41" s="57"/>
      <c r="E41" s="57"/>
      <c r="F41" s="57"/>
      <c r="G41" s="57"/>
      <c r="H41" s="70"/>
      <c r="I41" s="57"/>
      <c r="J41" s="57"/>
      <c r="K41" s="57"/>
      <c r="L41" s="57"/>
    </row>
    <row r="42" spans="1:12" x14ac:dyDescent="0.35">
      <c r="A42" s="61"/>
      <c r="B42" s="57"/>
      <c r="C42" s="57"/>
      <c r="D42" s="57"/>
      <c r="E42" s="57"/>
      <c r="F42" s="57"/>
      <c r="G42" s="57"/>
      <c r="H42" s="70"/>
      <c r="I42" s="57"/>
      <c r="J42" s="57"/>
      <c r="K42" s="57"/>
      <c r="L42" s="57"/>
    </row>
    <row r="43" spans="1:12" x14ac:dyDescent="0.35">
      <c r="A43" s="61"/>
      <c r="B43" s="57"/>
      <c r="C43" s="57"/>
      <c r="D43" s="57"/>
      <c r="E43" s="57"/>
      <c r="F43" s="57"/>
      <c r="G43" s="57"/>
      <c r="H43" s="70"/>
      <c r="I43" s="57"/>
      <c r="J43" s="57"/>
      <c r="K43" s="57"/>
      <c r="L43" s="57"/>
    </row>
    <row r="44" spans="1:12" x14ac:dyDescent="0.35">
      <c r="A44" s="61"/>
      <c r="B44" s="57"/>
      <c r="C44" s="57"/>
      <c r="D44" s="57"/>
      <c r="E44" s="57"/>
      <c r="F44" s="57"/>
      <c r="G44" s="57"/>
      <c r="H44" s="61"/>
      <c r="I44" s="57"/>
      <c r="J44" s="57"/>
      <c r="K44" s="57"/>
      <c r="L44" s="57"/>
    </row>
    <row r="45" spans="1:12" x14ac:dyDescent="0.35">
      <c r="A45" s="61" t="str">
        <f>C6</f>
        <v>PT. Kalapa Teknologi Putera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</row>
  </sheetData>
  <mergeCells count="1">
    <mergeCell ref="A1:L5"/>
  </mergeCells>
  <conditionalFormatting sqref="H39 H41:H43">
    <cfRule type="cellIs" dxfId="5" priority="7" operator="lessThan">
      <formula>0</formula>
    </cfRule>
    <cfRule type="cellIs" dxfId="4" priority="8" operator="lessThan">
      <formula>0</formula>
    </cfRule>
  </conditionalFormatting>
  <conditionalFormatting sqref="I28">
    <cfRule type="cellIs" dxfId="3" priority="9" operator="lessThan">
      <formula>0</formula>
    </cfRule>
    <cfRule type="cellIs" dxfId="2" priority="10" operator="lessThan">
      <formula>0</formula>
    </cfRule>
  </conditionalFormatting>
  <conditionalFormatting sqref="I30">
    <cfRule type="cellIs" dxfId="1" priority="5" operator="less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paperSize="9" scale="74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Salary!$B$6:$B$16</xm:f>
          </x14:formula1>
          <xm:sqref>C8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4:I132"/>
  <sheetViews>
    <sheetView workbookViewId="0">
      <selection activeCell="G6" sqref="G6"/>
    </sheetView>
  </sheetViews>
  <sheetFormatPr defaultRowHeight="14.5" x14ac:dyDescent="0.35"/>
  <cols>
    <col min="2" max="2" width="14.08984375" bestFit="1" customWidth="1"/>
    <col min="4" max="4" width="14.08984375" bestFit="1" customWidth="1"/>
    <col min="6" max="6" width="3" customWidth="1"/>
    <col min="9" max="9" width="3" customWidth="1"/>
  </cols>
  <sheetData>
    <row r="4" spans="1:9" ht="15" thickBot="1" x14ac:dyDescent="0.4"/>
    <row r="5" spans="1:9" ht="15" thickBot="1" x14ac:dyDescent="0.4">
      <c r="A5" s="4" t="s">
        <v>44</v>
      </c>
      <c r="B5" s="94" t="s">
        <v>57</v>
      </c>
      <c r="C5" s="95"/>
      <c r="D5" s="96"/>
      <c r="E5" s="5" t="s">
        <v>58</v>
      </c>
      <c r="F5" s="6"/>
      <c r="G5" s="4" t="s">
        <v>59</v>
      </c>
      <c r="H5" s="7" t="s">
        <v>44</v>
      </c>
      <c r="I5" s="6"/>
    </row>
    <row r="6" spans="1:9" x14ac:dyDescent="0.35">
      <c r="A6" s="8" t="s">
        <v>60</v>
      </c>
      <c r="B6" s="9">
        <v>0</v>
      </c>
      <c r="C6" s="10" t="s">
        <v>61</v>
      </c>
      <c r="D6" s="11">
        <v>5400000</v>
      </c>
      <c r="E6" s="12">
        <v>0</v>
      </c>
      <c r="F6" s="13"/>
      <c r="G6" s="14" t="s">
        <v>56</v>
      </c>
      <c r="H6" s="15" t="s">
        <v>60</v>
      </c>
      <c r="I6" s="13"/>
    </row>
    <row r="7" spans="1:9" x14ac:dyDescent="0.35">
      <c r="A7" s="8" t="s">
        <v>60</v>
      </c>
      <c r="B7" s="9">
        <f t="shared" ref="B7:B48" si="0">D6</f>
        <v>5400000</v>
      </c>
      <c r="C7" s="10" t="s">
        <v>61</v>
      </c>
      <c r="D7" s="11">
        <v>5650000</v>
      </c>
      <c r="E7" s="16">
        <v>2.5000000000000001E-3</v>
      </c>
      <c r="F7" s="17"/>
      <c r="G7" s="14" t="s">
        <v>62</v>
      </c>
      <c r="H7" s="15" t="s">
        <v>60</v>
      </c>
      <c r="I7" s="17"/>
    </row>
    <row r="8" spans="1:9" x14ac:dyDescent="0.35">
      <c r="A8" s="8" t="s">
        <v>60</v>
      </c>
      <c r="B8" s="9">
        <f t="shared" si="0"/>
        <v>5650000</v>
      </c>
      <c r="C8" s="10" t="s">
        <v>61</v>
      </c>
      <c r="D8" s="11">
        <v>5950000</v>
      </c>
      <c r="E8" s="16">
        <v>5.0000000000000001E-3</v>
      </c>
      <c r="F8" s="17"/>
      <c r="G8" s="14" t="s">
        <v>63</v>
      </c>
      <c r="H8" s="15" t="s">
        <v>60</v>
      </c>
      <c r="I8" s="17"/>
    </row>
    <row r="9" spans="1:9" x14ac:dyDescent="0.35">
      <c r="A9" s="8" t="s">
        <v>60</v>
      </c>
      <c r="B9" s="9">
        <f t="shared" si="0"/>
        <v>5950000</v>
      </c>
      <c r="C9" s="10" t="s">
        <v>61</v>
      </c>
      <c r="D9" s="11">
        <v>6300000</v>
      </c>
      <c r="E9" s="16">
        <v>7.4999999999999997E-3</v>
      </c>
      <c r="F9" s="17"/>
      <c r="G9" s="14" t="s">
        <v>64</v>
      </c>
      <c r="H9" s="15" t="s">
        <v>65</v>
      </c>
      <c r="I9" s="17"/>
    </row>
    <row r="10" spans="1:9" x14ac:dyDescent="0.35">
      <c r="A10" s="8" t="s">
        <v>60</v>
      </c>
      <c r="B10" s="9">
        <f t="shared" si="0"/>
        <v>6300000</v>
      </c>
      <c r="C10" s="10" t="s">
        <v>61</v>
      </c>
      <c r="D10" s="11">
        <v>6750000</v>
      </c>
      <c r="E10" s="12">
        <v>0.01</v>
      </c>
      <c r="F10" s="13"/>
      <c r="G10" s="14" t="s">
        <v>66</v>
      </c>
      <c r="H10" s="15" t="s">
        <v>65</v>
      </c>
      <c r="I10" s="13"/>
    </row>
    <row r="11" spans="1:9" x14ac:dyDescent="0.35">
      <c r="A11" s="8" t="s">
        <v>60</v>
      </c>
      <c r="B11" s="9">
        <f t="shared" si="0"/>
        <v>6750000</v>
      </c>
      <c r="C11" s="10" t="s">
        <v>61</v>
      </c>
      <c r="D11" s="11">
        <v>7500000</v>
      </c>
      <c r="E11" s="16">
        <v>1.2500000000000001E-2</v>
      </c>
      <c r="F11" s="17"/>
      <c r="G11" s="14" t="s">
        <v>67</v>
      </c>
      <c r="H11" s="15" t="s">
        <v>60</v>
      </c>
      <c r="I11" s="17"/>
    </row>
    <row r="12" spans="1:9" x14ac:dyDescent="0.35">
      <c r="A12" s="8" t="s">
        <v>60</v>
      </c>
      <c r="B12" s="9">
        <f>D11</f>
        <v>7500000</v>
      </c>
      <c r="C12" s="10" t="s">
        <v>61</v>
      </c>
      <c r="D12" s="11">
        <v>8550000</v>
      </c>
      <c r="E12" s="16">
        <v>1.4999999999999999E-2</v>
      </c>
      <c r="F12" s="17"/>
      <c r="G12" s="14" t="s">
        <v>68</v>
      </c>
      <c r="H12" s="15" t="s">
        <v>60</v>
      </c>
      <c r="I12" s="17"/>
    </row>
    <row r="13" spans="1:9" x14ac:dyDescent="0.35">
      <c r="A13" s="8" t="s">
        <v>60</v>
      </c>
      <c r="B13" s="9">
        <f t="shared" si="0"/>
        <v>8550000</v>
      </c>
      <c r="C13" s="10" t="s">
        <v>61</v>
      </c>
      <c r="D13" s="11">
        <v>9650000</v>
      </c>
      <c r="E13" s="16">
        <v>1.7500000000000002E-2</v>
      </c>
      <c r="F13" s="17"/>
      <c r="G13" s="14" t="s">
        <v>69</v>
      </c>
      <c r="H13" s="15" t="s">
        <v>65</v>
      </c>
      <c r="I13" s="17"/>
    </row>
    <row r="14" spans="1:9" x14ac:dyDescent="0.35">
      <c r="A14" s="8" t="s">
        <v>60</v>
      </c>
      <c r="B14" s="9">
        <f t="shared" si="0"/>
        <v>9650000</v>
      </c>
      <c r="C14" s="10" t="s">
        <v>61</v>
      </c>
      <c r="D14" s="11">
        <v>10050000</v>
      </c>
      <c r="E14" s="12">
        <v>0.02</v>
      </c>
      <c r="F14" s="13"/>
      <c r="G14" s="14" t="s">
        <v>70</v>
      </c>
      <c r="H14" s="15" t="s">
        <v>65</v>
      </c>
      <c r="I14" s="17"/>
    </row>
    <row r="15" spans="1:9" x14ac:dyDescent="0.35">
      <c r="A15" s="8" t="s">
        <v>60</v>
      </c>
      <c r="B15" s="9">
        <f t="shared" si="0"/>
        <v>10050000</v>
      </c>
      <c r="C15" s="10" t="s">
        <v>61</v>
      </c>
      <c r="D15" s="11">
        <v>10350000</v>
      </c>
      <c r="E15" s="16">
        <v>2.2499999999999999E-2</v>
      </c>
      <c r="F15" s="17"/>
      <c r="G15" s="14" t="s">
        <v>71</v>
      </c>
      <c r="H15" s="15" t="s">
        <v>65</v>
      </c>
      <c r="I15" s="17"/>
    </row>
    <row r="16" spans="1:9" x14ac:dyDescent="0.35">
      <c r="A16" s="8" t="s">
        <v>60</v>
      </c>
      <c r="B16" s="9">
        <f t="shared" si="0"/>
        <v>10350000</v>
      </c>
      <c r="C16" s="10" t="s">
        <v>61</v>
      </c>
      <c r="D16" s="11">
        <v>10700000</v>
      </c>
      <c r="E16" s="16">
        <v>2.5000000000000001E-2</v>
      </c>
      <c r="F16" s="17"/>
      <c r="G16" s="14" t="s">
        <v>72</v>
      </c>
      <c r="H16" s="15" t="s">
        <v>65</v>
      </c>
      <c r="I16" s="17"/>
    </row>
    <row r="17" spans="1:9" ht="15" thickBot="1" x14ac:dyDescent="0.4">
      <c r="A17" s="8" t="s">
        <v>60</v>
      </c>
      <c r="B17" s="9">
        <f t="shared" si="0"/>
        <v>10700000</v>
      </c>
      <c r="C17" s="10" t="s">
        <v>61</v>
      </c>
      <c r="D17" s="11">
        <v>11050000</v>
      </c>
      <c r="E17" s="16">
        <v>0.03</v>
      </c>
      <c r="F17" s="17"/>
      <c r="G17" s="18" t="s">
        <v>73</v>
      </c>
      <c r="H17" s="19" t="s">
        <v>74</v>
      </c>
      <c r="I17" s="17"/>
    </row>
    <row r="18" spans="1:9" x14ac:dyDescent="0.35">
      <c r="A18" s="8" t="s">
        <v>60</v>
      </c>
      <c r="B18" s="9">
        <f t="shared" si="0"/>
        <v>11050000</v>
      </c>
      <c r="C18" s="10" t="s">
        <v>61</v>
      </c>
      <c r="D18" s="11">
        <v>11600000</v>
      </c>
      <c r="E18" s="16">
        <v>3.5000000000000003E-2</v>
      </c>
      <c r="F18" s="17"/>
      <c r="G18" s="20"/>
      <c r="H18" s="20"/>
      <c r="I18" s="17"/>
    </row>
    <row r="19" spans="1:9" x14ac:dyDescent="0.35">
      <c r="A19" s="8" t="s">
        <v>60</v>
      </c>
      <c r="B19" s="9">
        <f t="shared" si="0"/>
        <v>11600000</v>
      </c>
      <c r="C19" s="10" t="s">
        <v>61</v>
      </c>
      <c r="D19" s="11">
        <v>12500000</v>
      </c>
      <c r="E19" s="16">
        <v>0.04</v>
      </c>
      <c r="F19" s="17"/>
      <c r="G19" s="20"/>
      <c r="H19" s="20"/>
      <c r="I19" s="17"/>
    </row>
    <row r="20" spans="1:9" x14ac:dyDescent="0.35">
      <c r="A20" s="8" t="s">
        <v>60</v>
      </c>
      <c r="B20" s="9">
        <f t="shared" si="0"/>
        <v>12500000</v>
      </c>
      <c r="C20" s="10" t="s">
        <v>61</v>
      </c>
      <c r="D20" s="11">
        <v>13750000</v>
      </c>
      <c r="E20" s="16">
        <v>0.05</v>
      </c>
      <c r="F20" s="17"/>
      <c r="G20" s="20"/>
      <c r="H20" s="20"/>
      <c r="I20" s="17"/>
    </row>
    <row r="21" spans="1:9" x14ac:dyDescent="0.35">
      <c r="A21" s="8" t="s">
        <v>60</v>
      </c>
      <c r="B21" s="9">
        <f t="shared" si="0"/>
        <v>13750000</v>
      </c>
      <c r="C21" s="10" t="s">
        <v>61</v>
      </c>
      <c r="D21" s="11">
        <v>15100000</v>
      </c>
      <c r="E21" s="16">
        <v>0.06</v>
      </c>
      <c r="F21" s="17"/>
      <c r="G21" s="20"/>
      <c r="H21" s="20"/>
      <c r="I21" s="17"/>
    </row>
    <row r="22" spans="1:9" x14ac:dyDescent="0.35">
      <c r="A22" s="8" t="s">
        <v>60</v>
      </c>
      <c r="B22" s="9">
        <f t="shared" si="0"/>
        <v>15100000</v>
      </c>
      <c r="C22" s="10" t="s">
        <v>61</v>
      </c>
      <c r="D22" s="11">
        <v>16950000</v>
      </c>
      <c r="E22" s="16">
        <v>7.0000000000000007E-2</v>
      </c>
      <c r="F22" s="17"/>
      <c r="G22" s="20"/>
      <c r="H22" s="20"/>
      <c r="I22" s="17"/>
    </row>
    <row r="23" spans="1:9" x14ac:dyDescent="0.35">
      <c r="A23" s="8" t="s">
        <v>60</v>
      </c>
      <c r="B23" s="9">
        <f t="shared" si="0"/>
        <v>16950000</v>
      </c>
      <c r="C23" s="10" t="s">
        <v>61</v>
      </c>
      <c r="D23" s="11">
        <v>19750000</v>
      </c>
      <c r="E23" s="16">
        <v>0.08</v>
      </c>
      <c r="F23" s="17"/>
      <c r="G23" s="20"/>
      <c r="H23" s="20"/>
      <c r="I23" s="17"/>
    </row>
    <row r="24" spans="1:9" x14ac:dyDescent="0.35">
      <c r="A24" s="8" t="s">
        <v>60</v>
      </c>
      <c r="B24" s="9">
        <f t="shared" si="0"/>
        <v>19750000</v>
      </c>
      <c r="C24" s="10" t="s">
        <v>61</v>
      </c>
      <c r="D24" s="11">
        <v>24150000</v>
      </c>
      <c r="E24" s="16">
        <v>0.09</v>
      </c>
      <c r="F24" s="17"/>
      <c r="G24" s="20"/>
      <c r="H24" s="20"/>
      <c r="I24" s="17"/>
    </row>
    <row r="25" spans="1:9" x14ac:dyDescent="0.35">
      <c r="A25" s="8" t="s">
        <v>60</v>
      </c>
      <c r="B25" s="9">
        <f t="shared" si="0"/>
        <v>24150000</v>
      </c>
      <c r="C25" s="10" t="s">
        <v>61</v>
      </c>
      <c r="D25" s="11">
        <v>26450000</v>
      </c>
      <c r="E25" s="16">
        <v>0.1</v>
      </c>
      <c r="F25" s="17"/>
      <c r="G25" s="20"/>
      <c r="H25" s="20"/>
      <c r="I25" s="17"/>
    </row>
    <row r="26" spans="1:9" x14ac:dyDescent="0.35">
      <c r="A26" s="8" t="s">
        <v>60</v>
      </c>
      <c r="B26" s="9">
        <f t="shared" si="0"/>
        <v>26450000</v>
      </c>
      <c r="C26" s="10" t="s">
        <v>61</v>
      </c>
      <c r="D26" s="11">
        <v>28000000</v>
      </c>
      <c r="E26" s="16">
        <v>0.11</v>
      </c>
      <c r="F26" s="17"/>
      <c r="G26" s="20"/>
      <c r="H26" s="20"/>
      <c r="I26" s="17"/>
    </row>
    <row r="27" spans="1:9" x14ac:dyDescent="0.35">
      <c r="A27" s="8" t="s">
        <v>60</v>
      </c>
      <c r="B27" s="9">
        <f t="shared" si="0"/>
        <v>28000000</v>
      </c>
      <c r="C27" s="10" t="s">
        <v>61</v>
      </c>
      <c r="D27" s="11">
        <v>30050000</v>
      </c>
      <c r="E27" s="16">
        <v>0.12</v>
      </c>
      <c r="F27" s="17"/>
      <c r="G27" s="20"/>
      <c r="H27" s="20"/>
      <c r="I27" s="17"/>
    </row>
    <row r="28" spans="1:9" x14ac:dyDescent="0.35">
      <c r="A28" s="8" t="s">
        <v>60</v>
      </c>
      <c r="B28" s="9">
        <f t="shared" si="0"/>
        <v>30050000</v>
      </c>
      <c r="C28" s="10" t="s">
        <v>61</v>
      </c>
      <c r="D28" s="11">
        <v>32400000</v>
      </c>
      <c r="E28" s="16">
        <v>0.13</v>
      </c>
      <c r="F28" s="17"/>
      <c r="G28" s="20"/>
      <c r="H28" s="20"/>
      <c r="I28" s="17"/>
    </row>
    <row r="29" spans="1:9" x14ac:dyDescent="0.35">
      <c r="A29" s="8" t="s">
        <v>60</v>
      </c>
      <c r="B29" s="9">
        <f t="shared" si="0"/>
        <v>32400000</v>
      </c>
      <c r="C29" s="10" t="s">
        <v>61</v>
      </c>
      <c r="D29" s="11">
        <v>35400000</v>
      </c>
      <c r="E29" s="16">
        <v>0.14000000000000001</v>
      </c>
      <c r="F29" s="17"/>
      <c r="G29" s="20"/>
      <c r="H29" s="20"/>
      <c r="I29" s="17"/>
    </row>
    <row r="30" spans="1:9" x14ac:dyDescent="0.35">
      <c r="A30" s="8" t="s">
        <v>60</v>
      </c>
      <c r="B30" s="9">
        <f t="shared" si="0"/>
        <v>35400000</v>
      </c>
      <c r="C30" s="10" t="s">
        <v>61</v>
      </c>
      <c r="D30" s="11">
        <v>39100000</v>
      </c>
      <c r="E30" s="16">
        <v>0.15</v>
      </c>
      <c r="F30" s="17"/>
      <c r="G30" s="20"/>
      <c r="H30" s="20"/>
      <c r="I30" s="17"/>
    </row>
    <row r="31" spans="1:9" x14ac:dyDescent="0.35">
      <c r="A31" s="8" t="s">
        <v>60</v>
      </c>
      <c r="B31" s="9">
        <f t="shared" si="0"/>
        <v>39100000</v>
      </c>
      <c r="C31" s="10" t="s">
        <v>61</v>
      </c>
      <c r="D31" s="11">
        <v>43850000</v>
      </c>
      <c r="E31" s="16">
        <v>0.16</v>
      </c>
      <c r="F31" s="17"/>
      <c r="G31" s="20"/>
      <c r="H31" s="20"/>
      <c r="I31" s="17"/>
    </row>
    <row r="32" spans="1:9" x14ac:dyDescent="0.35">
      <c r="A32" s="8" t="s">
        <v>60</v>
      </c>
      <c r="B32" s="9">
        <f t="shared" si="0"/>
        <v>43850000</v>
      </c>
      <c r="C32" s="10" t="s">
        <v>61</v>
      </c>
      <c r="D32" s="11">
        <v>47800000</v>
      </c>
      <c r="E32" s="16">
        <v>0.17</v>
      </c>
      <c r="F32" s="17"/>
      <c r="G32" s="20"/>
      <c r="H32" s="20"/>
      <c r="I32" s="17"/>
    </row>
    <row r="33" spans="1:9" x14ac:dyDescent="0.35">
      <c r="A33" s="8" t="s">
        <v>60</v>
      </c>
      <c r="B33" s="9">
        <f t="shared" si="0"/>
        <v>47800000</v>
      </c>
      <c r="C33" s="10" t="s">
        <v>61</v>
      </c>
      <c r="D33" s="11">
        <v>51400000</v>
      </c>
      <c r="E33" s="16">
        <v>0.18</v>
      </c>
      <c r="F33" s="17"/>
      <c r="G33" s="20"/>
      <c r="H33" s="20"/>
      <c r="I33" s="17"/>
    </row>
    <row r="34" spans="1:9" x14ac:dyDescent="0.35">
      <c r="A34" s="8" t="s">
        <v>60</v>
      </c>
      <c r="B34" s="9">
        <f t="shared" si="0"/>
        <v>51400000</v>
      </c>
      <c r="C34" s="10" t="s">
        <v>61</v>
      </c>
      <c r="D34" s="11">
        <v>56300000</v>
      </c>
      <c r="E34" s="16">
        <v>0.19</v>
      </c>
      <c r="F34" s="17"/>
      <c r="G34" s="20"/>
      <c r="H34" s="20"/>
      <c r="I34" s="17"/>
    </row>
    <row r="35" spans="1:9" x14ac:dyDescent="0.35">
      <c r="A35" s="8" t="s">
        <v>60</v>
      </c>
      <c r="B35" s="9">
        <f t="shared" si="0"/>
        <v>56300000</v>
      </c>
      <c r="C35" s="10" t="s">
        <v>61</v>
      </c>
      <c r="D35" s="11">
        <v>62200000</v>
      </c>
      <c r="E35" s="16">
        <v>0.2</v>
      </c>
      <c r="F35" s="17"/>
      <c r="G35" s="20"/>
      <c r="H35" s="20"/>
      <c r="I35" s="17"/>
    </row>
    <row r="36" spans="1:9" x14ac:dyDescent="0.35">
      <c r="A36" s="8" t="s">
        <v>60</v>
      </c>
      <c r="B36" s="9">
        <f t="shared" si="0"/>
        <v>62200000</v>
      </c>
      <c r="C36" s="10" t="s">
        <v>61</v>
      </c>
      <c r="D36" s="11">
        <v>68600000</v>
      </c>
      <c r="E36" s="16">
        <v>0.21</v>
      </c>
      <c r="F36" s="17"/>
      <c r="G36" s="20"/>
      <c r="H36" s="20"/>
      <c r="I36" s="17"/>
    </row>
    <row r="37" spans="1:9" x14ac:dyDescent="0.35">
      <c r="A37" s="8" t="s">
        <v>60</v>
      </c>
      <c r="B37" s="9">
        <f t="shared" si="0"/>
        <v>68600000</v>
      </c>
      <c r="C37" s="10" t="s">
        <v>61</v>
      </c>
      <c r="D37" s="11">
        <v>77500000</v>
      </c>
      <c r="E37" s="16">
        <v>0.22</v>
      </c>
      <c r="F37" s="17"/>
      <c r="G37" s="20"/>
      <c r="H37" s="20"/>
      <c r="I37" s="17"/>
    </row>
    <row r="38" spans="1:9" x14ac:dyDescent="0.35">
      <c r="A38" s="8" t="s">
        <v>60</v>
      </c>
      <c r="B38" s="9">
        <f t="shared" si="0"/>
        <v>77500000</v>
      </c>
      <c r="C38" s="10" t="s">
        <v>61</v>
      </c>
      <c r="D38" s="11">
        <v>89000000</v>
      </c>
      <c r="E38" s="16">
        <v>0.23</v>
      </c>
      <c r="F38" s="17"/>
      <c r="G38" s="20"/>
      <c r="H38" s="20"/>
      <c r="I38" s="17"/>
    </row>
    <row r="39" spans="1:9" x14ac:dyDescent="0.35">
      <c r="A39" s="8" t="s">
        <v>60</v>
      </c>
      <c r="B39" s="9">
        <f t="shared" si="0"/>
        <v>89000000</v>
      </c>
      <c r="C39" s="10" t="s">
        <v>61</v>
      </c>
      <c r="D39" s="11">
        <v>103000000</v>
      </c>
      <c r="E39" s="16">
        <v>0.24</v>
      </c>
      <c r="F39" s="17"/>
      <c r="G39" s="20"/>
      <c r="H39" s="20"/>
      <c r="I39" s="17"/>
    </row>
    <row r="40" spans="1:9" x14ac:dyDescent="0.35">
      <c r="A40" s="8" t="s">
        <v>60</v>
      </c>
      <c r="B40" s="9">
        <f t="shared" si="0"/>
        <v>103000000</v>
      </c>
      <c r="C40" s="10" t="s">
        <v>61</v>
      </c>
      <c r="D40" s="11">
        <v>125000000</v>
      </c>
      <c r="E40" s="16">
        <v>0.25</v>
      </c>
      <c r="F40" s="17"/>
      <c r="G40" s="20"/>
      <c r="H40" s="20"/>
      <c r="I40" s="17"/>
    </row>
    <row r="41" spans="1:9" x14ac:dyDescent="0.35">
      <c r="A41" s="8" t="s">
        <v>60</v>
      </c>
      <c r="B41" s="9">
        <f t="shared" si="0"/>
        <v>125000000</v>
      </c>
      <c r="C41" s="10" t="s">
        <v>61</v>
      </c>
      <c r="D41" s="11">
        <v>157000000</v>
      </c>
      <c r="E41" s="16">
        <v>0.26</v>
      </c>
      <c r="F41" s="17"/>
      <c r="G41" s="20"/>
      <c r="H41" s="20"/>
      <c r="I41" s="17"/>
    </row>
    <row r="42" spans="1:9" x14ac:dyDescent="0.35">
      <c r="A42" s="8" t="s">
        <v>60</v>
      </c>
      <c r="B42" s="9">
        <f t="shared" si="0"/>
        <v>157000000</v>
      </c>
      <c r="C42" s="10" t="s">
        <v>61</v>
      </c>
      <c r="D42" s="11">
        <v>206000000</v>
      </c>
      <c r="E42" s="16">
        <v>0.27</v>
      </c>
      <c r="F42" s="17"/>
      <c r="G42" s="20"/>
      <c r="H42" s="20"/>
      <c r="I42" s="17"/>
    </row>
    <row r="43" spans="1:9" x14ac:dyDescent="0.35">
      <c r="A43" s="8" t="s">
        <v>60</v>
      </c>
      <c r="B43" s="9">
        <f t="shared" si="0"/>
        <v>206000000</v>
      </c>
      <c r="C43" s="10" t="s">
        <v>61</v>
      </c>
      <c r="D43" s="11">
        <v>337000000</v>
      </c>
      <c r="E43" s="16">
        <v>0.28000000000000003</v>
      </c>
      <c r="F43" s="17"/>
      <c r="G43" s="20"/>
      <c r="H43" s="20"/>
      <c r="I43" s="17"/>
    </row>
    <row r="44" spans="1:9" x14ac:dyDescent="0.35">
      <c r="A44" s="8" t="s">
        <v>60</v>
      </c>
      <c r="B44" s="9">
        <f t="shared" si="0"/>
        <v>337000000</v>
      </c>
      <c r="C44" s="10" t="s">
        <v>61</v>
      </c>
      <c r="D44" s="11">
        <v>454000000</v>
      </c>
      <c r="E44" s="16">
        <v>0.28999999999999998</v>
      </c>
      <c r="F44" s="17"/>
      <c r="G44" s="20"/>
      <c r="H44" s="20"/>
      <c r="I44" s="17"/>
    </row>
    <row r="45" spans="1:9" x14ac:dyDescent="0.35">
      <c r="A45" s="8" t="s">
        <v>60</v>
      </c>
      <c r="B45" s="9">
        <f t="shared" si="0"/>
        <v>454000000</v>
      </c>
      <c r="C45" s="10" t="s">
        <v>61</v>
      </c>
      <c r="D45" s="11">
        <v>550000000</v>
      </c>
      <c r="E45" s="16">
        <v>0.3</v>
      </c>
      <c r="F45" s="17"/>
      <c r="G45" s="20"/>
      <c r="H45" s="20"/>
      <c r="I45" s="17"/>
    </row>
    <row r="46" spans="1:9" x14ac:dyDescent="0.35">
      <c r="A46" s="8" t="s">
        <v>60</v>
      </c>
      <c r="B46" s="9">
        <f t="shared" si="0"/>
        <v>550000000</v>
      </c>
      <c r="C46" s="10" t="s">
        <v>61</v>
      </c>
      <c r="D46" s="11">
        <v>695000000</v>
      </c>
      <c r="E46" s="16">
        <v>0.31</v>
      </c>
      <c r="F46" s="17"/>
      <c r="G46" s="20"/>
      <c r="H46" s="20"/>
      <c r="I46" s="17"/>
    </row>
    <row r="47" spans="1:9" x14ac:dyDescent="0.35">
      <c r="A47" s="8" t="s">
        <v>60</v>
      </c>
      <c r="B47" s="9">
        <f t="shared" si="0"/>
        <v>695000000</v>
      </c>
      <c r="C47" s="10" t="s">
        <v>61</v>
      </c>
      <c r="D47" s="11">
        <v>910000000</v>
      </c>
      <c r="E47" s="16">
        <v>0.32</v>
      </c>
      <c r="F47" s="17"/>
      <c r="G47" s="20"/>
      <c r="H47" s="20"/>
      <c r="I47" s="17"/>
    </row>
    <row r="48" spans="1:9" x14ac:dyDescent="0.35">
      <c r="A48" s="8" t="s">
        <v>60</v>
      </c>
      <c r="B48" s="9">
        <f t="shared" si="0"/>
        <v>910000000</v>
      </c>
      <c r="C48" s="10" t="s">
        <v>61</v>
      </c>
      <c r="D48" s="11">
        <v>1400000000</v>
      </c>
      <c r="E48" s="16">
        <v>0.33</v>
      </c>
      <c r="F48" s="17"/>
      <c r="G48" s="20"/>
      <c r="H48" s="20"/>
      <c r="I48" s="21"/>
    </row>
    <row r="49" spans="1:9" ht="15" thickBot="1" x14ac:dyDescent="0.4">
      <c r="A49" s="22" t="s">
        <v>60</v>
      </c>
      <c r="B49" s="23">
        <v>1400000000</v>
      </c>
      <c r="C49" s="24"/>
      <c r="D49" s="25"/>
      <c r="E49" s="26">
        <v>0.34</v>
      </c>
      <c r="F49" s="17"/>
      <c r="G49" s="20"/>
      <c r="H49" s="20"/>
      <c r="I49" s="17"/>
    </row>
    <row r="50" spans="1:9" x14ac:dyDescent="0.35">
      <c r="A50" s="20"/>
      <c r="B50" s="27"/>
      <c r="C50" s="27"/>
      <c r="D50" s="27"/>
      <c r="E50" s="21"/>
      <c r="F50" s="21"/>
      <c r="G50" s="20"/>
      <c r="H50" s="20"/>
      <c r="I50" s="17"/>
    </row>
    <row r="51" spans="1:9" x14ac:dyDescent="0.35">
      <c r="A51" s="28" t="s">
        <v>65</v>
      </c>
      <c r="B51" s="9">
        <v>0</v>
      </c>
      <c r="C51" s="10" t="s">
        <v>61</v>
      </c>
      <c r="D51" s="11">
        <v>6200000</v>
      </c>
      <c r="E51" s="29">
        <v>0</v>
      </c>
      <c r="F51" s="17"/>
      <c r="G51" s="20"/>
      <c r="H51" s="20"/>
      <c r="I51" s="17"/>
    </row>
    <row r="52" spans="1:9" x14ac:dyDescent="0.35">
      <c r="A52" s="28" t="s">
        <v>65</v>
      </c>
      <c r="B52" s="9">
        <f t="shared" ref="B52:B89" si="1">D51</f>
        <v>6200000</v>
      </c>
      <c r="C52" s="10" t="s">
        <v>61</v>
      </c>
      <c r="D52" s="11">
        <v>6500000</v>
      </c>
      <c r="E52" s="29">
        <v>2.5000000000000001E-3</v>
      </c>
      <c r="F52" s="17"/>
      <c r="G52" s="20"/>
      <c r="H52" s="20"/>
      <c r="I52" s="17"/>
    </row>
    <row r="53" spans="1:9" x14ac:dyDescent="0.35">
      <c r="A53" s="28" t="s">
        <v>65</v>
      </c>
      <c r="B53" s="9">
        <f t="shared" si="1"/>
        <v>6500000</v>
      </c>
      <c r="C53" s="10" t="s">
        <v>61</v>
      </c>
      <c r="D53" s="11">
        <v>6850000</v>
      </c>
      <c r="E53" s="29">
        <v>5.0000000000000001E-3</v>
      </c>
      <c r="F53" s="17"/>
      <c r="G53" s="20"/>
      <c r="H53" s="20"/>
      <c r="I53" s="17"/>
    </row>
    <row r="54" spans="1:9" x14ac:dyDescent="0.35">
      <c r="A54" s="28" t="s">
        <v>65</v>
      </c>
      <c r="B54" s="9">
        <f t="shared" si="1"/>
        <v>6850000</v>
      </c>
      <c r="C54" s="10" t="s">
        <v>61</v>
      </c>
      <c r="D54" s="11">
        <v>7300000</v>
      </c>
      <c r="E54" s="29">
        <v>7.4999999999999997E-3</v>
      </c>
      <c r="F54" s="17"/>
      <c r="G54" s="20"/>
      <c r="H54" s="20"/>
      <c r="I54" s="17"/>
    </row>
    <row r="55" spans="1:9" x14ac:dyDescent="0.35">
      <c r="A55" s="28" t="s">
        <v>65</v>
      </c>
      <c r="B55" s="9">
        <f t="shared" si="1"/>
        <v>7300000</v>
      </c>
      <c r="C55" s="10" t="s">
        <v>61</v>
      </c>
      <c r="D55" s="11">
        <v>9200000</v>
      </c>
      <c r="E55" s="29">
        <v>0.01</v>
      </c>
      <c r="F55" s="17"/>
      <c r="G55" s="20"/>
      <c r="H55" s="20"/>
      <c r="I55" s="17"/>
    </row>
    <row r="56" spans="1:9" x14ac:dyDescent="0.35">
      <c r="A56" s="28" t="s">
        <v>65</v>
      </c>
      <c r="B56" s="9">
        <f t="shared" si="1"/>
        <v>9200000</v>
      </c>
      <c r="C56" s="10" t="s">
        <v>61</v>
      </c>
      <c r="D56" s="11">
        <v>10750000</v>
      </c>
      <c r="E56" s="29">
        <v>1.4999999999999999E-2</v>
      </c>
      <c r="F56" s="17"/>
      <c r="G56" s="20"/>
      <c r="H56" s="20"/>
      <c r="I56" s="17"/>
    </row>
    <row r="57" spans="1:9" x14ac:dyDescent="0.35">
      <c r="A57" s="28" t="s">
        <v>65</v>
      </c>
      <c r="B57" s="9">
        <f t="shared" si="1"/>
        <v>10750000</v>
      </c>
      <c r="C57" s="10" t="s">
        <v>61</v>
      </c>
      <c r="D57" s="11">
        <v>11250000</v>
      </c>
      <c r="E57" s="29">
        <v>0.02</v>
      </c>
      <c r="F57" s="17"/>
      <c r="G57" s="20"/>
      <c r="H57" s="20"/>
      <c r="I57" s="17"/>
    </row>
    <row r="58" spans="1:9" x14ac:dyDescent="0.35">
      <c r="A58" s="28" t="s">
        <v>65</v>
      </c>
      <c r="B58" s="9">
        <f t="shared" si="1"/>
        <v>11250000</v>
      </c>
      <c r="C58" s="10" t="s">
        <v>61</v>
      </c>
      <c r="D58" s="11">
        <v>11600000</v>
      </c>
      <c r="E58" s="29">
        <v>2.5000000000000001E-2</v>
      </c>
      <c r="F58" s="17"/>
      <c r="G58" s="20"/>
      <c r="H58" s="20"/>
      <c r="I58" s="17"/>
    </row>
    <row r="59" spans="1:9" x14ac:dyDescent="0.35">
      <c r="A59" s="28" t="s">
        <v>65</v>
      </c>
      <c r="B59" s="9">
        <f t="shared" si="1"/>
        <v>11600000</v>
      </c>
      <c r="C59" s="10" t="s">
        <v>61</v>
      </c>
      <c r="D59" s="11">
        <v>12600000</v>
      </c>
      <c r="E59" s="29">
        <v>0.03</v>
      </c>
      <c r="F59" s="17"/>
      <c r="G59" s="20"/>
      <c r="H59" s="20"/>
      <c r="I59" s="17"/>
    </row>
    <row r="60" spans="1:9" x14ac:dyDescent="0.35">
      <c r="A60" s="28" t="s">
        <v>65</v>
      </c>
      <c r="B60" s="9">
        <f t="shared" si="1"/>
        <v>12600000</v>
      </c>
      <c r="C60" s="10" t="s">
        <v>61</v>
      </c>
      <c r="D60" s="11">
        <v>13600000</v>
      </c>
      <c r="E60" s="29">
        <v>0.04</v>
      </c>
      <c r="F60" s="17"/>
      <c r="G60" s="20"/>
      <c r="H60" s="20"/>
      <c r="I60" s="17"/>
    </row>
    <row r="61" spans="1:9" x14ac:dyDescent="0.35">
      <c r="A61" s="28" t="s">
        <v>65</v>
      </c>
      <c r="B61" s="9">
        <f t="shared" si="1"/>
        <v>13600000</v>
      </c>
      <c r="C61" s="10" t="s">
        <v>61</v>
      </c>
      <c r="D61" s="11">
        <v>14950000</v>
      </c>
      <c r="E61" s="29">
        <v>0.05</v>
      </c>
      <c r="F61" s="17"/>
      <c r="G61" s="20"/>
      <c r="H61" s="20"/>
      <c r="I61" s="17"/>
    </row>
    <row r="62" spans="1:9" x14ac:dyDescent="0.35">
      <c r="A62" s="28" t="s">
        <v>65</v>
      </c>
      <c r="B62" s="9">
        <f t="shared" si="1"/>
        <v>14950000</v>
      </c>
      <c r="C62" s="10" t="s">
        <v>61</v>
      </c>
      <c r="D62" s="11">
        <v>16400000</v>
      </c>
      <c r="E62" s="29">
        <v>0.06</v>
      </c>
      <c r="F62" s="17"/>
      <c r="G62" s="20"/>
      <c r="H62" s="20"/>
      <c r="I62" s="17"/>
    </row>
    <row r="63" spans="1:9" x14ac:dyDescent="0.35">
      <c r="A63" s="28" t="s">
        <v>65</v>
      </c>
      <c r="B63" s="9">
        <f t="shared" si="1"/>
        <v>16400000</v>
      </c>
      <c r="C63" s="10" t="s">
        <v>61</v>
      </c>
      <c r="D63" s="11">
        <v>18450000</v>
      </c>
      <c r="E63" s="29">
        <v>7.0000000000000007E-2</v>
      </c>
      <c r="F63" s="17"/>
      <c r="G63" s="20"/>
      <c r="H63" s="20"/>
      <c r="I63" s="17"/>
    </row>
    <row r="64" spans="1:9" x14ac:dyDescent="0.35">
      <c r="A64" s="28" t="s">
        <v>65</v>
      </c>
      <c r="B64" s="9">
        <f t="shared" si="1"/>
        <v>18450000</v>
      </c>
      <c r="C64" s="10" t="s">
        <v>61</v>
      </c>
      <c r="D64" s="11">
        <v>21850000</v>
      </c>
      <c r="E64" s="29">
        <v>0.08</v>
      </c>
      <c r="F64" s="17"/>
      <c r="G64" s="20"/>
      <c r="H64" s="20"/>
      <c r="I64" s="17"/>
    </row>
    <row r="65" spans="1:9" x14ac:dyDescent="0.35">
      <c r="A65" s="28" t="s">
        <v>65</v>
      </c>
      <c r="B65" s="9">
        <f t="shared" si="1"/>
        <v>21850000</v>
      </c>
      <c r="C65" s="10" t="s">
        <v>61</v>
      </c>
      <c r="D65" s="11">
        <v>26000000</v>
      </c>
      <c r="E65" s="29">
        <v>0.09</v>
      </c>
      <c r="F65" s="17"/>
      <c r="G65" s="20"/>
      <c r="H65" s="20"/>
      <c r="I65" s="17"/>
    </row>
    <row r="66" spans="1:9" x14ac:dyDescent="0.35">
      <c r="A66" s="28" t="s">
        <v>65</v>
      </c>
      <c r="B66" s="9">
        <f t="shared" si="1"/>
        <v>26000000</v>
      </c>
      <c r="C66" s="10" t="s">
        <v>61</v>
      </c>
      <c r="D66" s="11">
        <v>27700000</v>
      </c>
      <c r="E66" s="29">
        <v>0.1</v>
      </c>
      <c r="F66" s="17"/>
      <c r="G66" s="20"/>
      <c r="H66" s="20"/>
      <c r="I66" s="17"/>
    </row>
    <row r="67" spans="1:9" x14ac:dyDescent="0.35">
      <c r="A67" s="28" t="s">
        <v>65</v>
      </c>
      <c r="B67" s="9">
        <f t="shared" si="1"/>
        <v>27700000</v>
      </c>
      <c r="C67" s="10" t="s">
        <v>61</v>
      </c>
      <c r="D67" s="11">
        <v>29350000</v>
      </c>
      <c r="E67" s="29">
        <v>0.11</v>
      </c>
      <c r="F67" s="17"/>
      <c r="G67" s="20"/>
      <c r="H67" s="20"/>
      <c r="I67" s="17"/>
    </row>
    <row r="68" spans="1:9" x14ac:dyDescent="0.35">
      <c r="A68" s="28" t="s">
        <v>65</v>
      </c>
      <c r="B68" s="9">
        <f t="shared" si="1"/>
        <v>29350000</v>
      </c>
      <c r="C68" s="10" t="s">
        <v>61</v>
      </c>
      <c r="D68" s="11">
        <v>31450000</v>
      </c>
      <c r="E68" s="29">
        <v>0.12</v>
      </c>
      <c r="F68" s="17"/>
      <c r="G68" s="20"/>
      <c r="H68" s="20"/>
      <c r="I68" s="17"/>
    </row>
    <row r="69" spans="1:9" x14ac:dyDescent="0.35">
      <c r="A69" s="28" t="s">
        <v>65</v>
      </c>
      <c r="B69" s="9">
        <f t="shared" si="1"/>
        <v>31450000</v>
      </c>
      <c r="C69" s="10" t="s">
        <v>61</v>
      </c>
      <c r="D69" s="11">
        <v>33950000</v>
      </c>
      <c r="E69" s="29">
        <v>0.13</v>
      </c>
      <c r="F69" s="17"/>
      <c r="G69" s="20"/>
      <c r="H69" s="20"/>
      <c r="I69" s="17"/>
    </row>
    <row r="70" spans="1:9" x14ac:dyDescent="0.35">
      <c r="A70" s="28" t="s">
        <v>65</v>
      </c>
      <c r="B70" s="9">
        <f t="shared" si="1"/>
        <v>33950000</v>
      </c>
      <c r="C70" s="10" t="s">
        <v>61</v>
      </c>
      <c r="D70" s="11">
        <v>37100000</v>
      </c>
      <c r="E70" s="29">
        <v>0.14000000000000001</v>
      </c>
      <c r="F70" s="17"/>
      <c r="G70" s="20"/>
      <c r="H70" s="20"/>
      <c r="I70" s="17"/>
    </row>
    <row r="71" spans="1:9" x14ac:dyDescent="0.35">
      <c r="A71" s="28" t="s">
        <v>65</v>
      </c>
      <c r="B71" s="9">
        <f t="shared" si="1"/>
        <v>37100000</v>
      </c>
      <c r="C71" s="10" t="s">
        <v>61</v>
      </c>
      <c r="D71" s="11">
        <v>41100000</v>
      </c>
      <c r="E71" s="29">
        <v>0.15</v>
      </c>
      <c r="F71" s="17"/>
      <c r="G71" s="20"/>
      <c r="H71" s="20"/>
      <c r="I71" s="17"/>
    </row>
    <row r="72" spans="1:9" x14ac:dyDescent="0.35">
      <c r="A72" s="28" t="s">
        <v>65</v>
      </c>
      <c r="B72" s="9">
        <f t="shared" si="1"/>
        <v>41100000</v>
      </c>
      <c r="C72" s="10" t="s">
        <v>61</v>
      </c>
      <c r="D72" s="11">
        <v>45800000</v>
      </c>
      <c r="E72" s="29">
        <v>0.16</v>
      </c>
      <c r="F72" s="17"/>
      <c r="G72" s="20"/>
      <c r="H72" s="20"/>
      <c r="I72" s="17"/>
    </row>
    <row r="73" spans="1:9" x14ac:dyDescent="0.35">
      <c r="A73" s="28" t="s">
        <v>65</v>
      </c>
      <c r="B73" s="9">
        <f t="shared" si="1"/>
        <v>45800000</v>
      </c>
      <c r="C73" s="10" t="s">
        <v>61</v>
      </c>
      <c r="D73" s="11">
        <v>49500000</v>
      </c>
      <c r="E73" s="29">
        <v>0.17</v>
      </c>
      <c r="F73" s="17"/>
      <c r="G73" s="20"/>
      <c r="H73" s="20"/>
      <c r="I73" s="17"/>
    </row>
    <row r="74" spans="1:9" x14ac:dyDescent="0.35">
      <c r="A74" s="28" t="s">
        <v>65</v>
      </c>
      <c r="B74" s="9">
        <f t="shared" si="1"/>
        <v>49500000</v>
      </c>
      <c r="C74" s="10" t="s">
        <v>61</v>
      </c>
      <c r="D74" s="11">
        <v>53800000</v>
      </c>
      <c r="E74" s="29">
        <v>0.18</v>
      </c>
      <c r="F74" s="17"/>
      <c r="G74" s="20"/>
      <c r="H74" s="20"/>
      <c r="I74" s="17"/>
    </row>
    <row r="75" spans="1:9" x14ac:dyDescent="0.35">
      <c r="A75" s="28" t="s">
        <v>65</v>
      </c>
      <c r="B75" s="9">
        <f t="shared" si="1"/>
        <v>53800000</v>
      </c>
      <c r="C75" s="10" t="s">
        <v>61</v>
      </c>
      <c r="D75" s="11">
        <v>58500000</v>
      </c>
      <c r="E75" s="29">
        <v>0.19</v>
      </c>
      <c r="F75" s="17"/>
      <c r="G75" s="20"/>
      <c r="H75" s="20"/>
      <c r="I75" s="17"/>
    </row>
    <row r="76" spans="1:9" x14ac:dyDescent="0.35">
      <c r="A76" s="28" t="s">
        <v>65</v>
      </c>
      <c r="B76" s="9">
        <f t="shared" si="1"/>
        <v>58500000</v>
      </c>
      <c r="C76" s="10" t="s">
        <v>61</v>
      </c>
      <c r="D76" s="11">
        <v>64000000</v>
      </c>
      <c r="E76" s="29">
        <v>0.2</v>
      </c>
      <c r="F76" s="17"/>
      <c r="G76" s="20"/>
      <c r="H76" s="20"/>
      <c r="I76" s="17"/>
    </row>
    <row r="77" spans="1:9" x14ac:dyDescent="0.35">
      <c r="A77" s="28" t="s">
        <v>65</v>
      </c>
      <c r="B77" s="9">
        <f t="shared" si="1"/>
        <v>64000000</v>
      </c>
      <c r="C77" s="10" t="s">
        <v>61</v>
      </c>
      <c r="D77" s="11">
        <v>71000000</v>
      </c>
      <c r="E77" s="29">
        <v>0.21</v>
      </c>
      <c r="F77" s="17"/>
      <c r="G77" s="20"/>
      <c r="H77" s="20"/>
      <c r="I77" s="17"/>
    </row>
    <row r="78" spans="1:9" x14ac:dyDescent="0.35">
      <c r="A78" s="28" t="s">
        <v>65</v>
      </c>
      <c r="B78" s="9">
        <f t="shared" si="1"/>
        <v>71000000</v>
      </c>
      <c r="C78" s="10" t="s">
        <v>61</v>
      </c>
      <c r="D78" s="11">
        <v>80000000</v>
      </c>
      <c r="E78" s="29">
        <v>0.22</v>
      </c>
      <c r="F78" s="17"/>
      <c r="G78" s="20"/>
      <c r="H78" s="20"/>
      <c r="I78" s="17"/>
    </row>
    <row r="79" spans="1:9" x14ac:dyDescent="0.35">
      <c r="A79" s="28" t="s">
        <v>65</v>
      </c>
      <c r="B79" s="9">
        <f t="shared" si="1"/>
        <v>80000000</v>
      </c>
      <c r="C79" s="10" t="s">
        <v>61</v>
      </c>
      <c r="D79" s="11">
        <v>93000000</v>
      </c>
      <c r="E79" s="29">
        <v>0.23</v>
      </c>
      <c r="F79" s="17"/>
      <c r="G79" s="20"/>
      <c r="H79" s="20"/>
      <c r="I79" s="17"/>
    </row>
    <row r="80" spans="1:9" x14ac:dyDescent="0.35">
      <c r="A80" s="28" t="s">
        <v>65</v>
      </c>
      <c r="B80" s="9">
        <f t="shared" si="1"/>
        <v>93000000</v>
      </c>
      <c r="C80" s="10" t="s">
        <v>61</v>
      </c>
      <c r="D80" s="11">
        <v>109000000</v>
      </c>
      <c r="E80" s="29">
        <v>0.24</v>
      </c>
      <c r="F80" s="17"/>
      <c r="G80" s="20"/>
      <c r="H80" s="20"/>
      <c r="I80" s="17"/>
    </row>
    <row r="81" spans="1:9" x14ac:dyDescent="0.35">
      <c r="A81" s="28" t="s">
        <v>65</v>
      </c>
      <c r="B81" s="9">
        <f t="shared" si="1"/>
        <v>109000000</v>
      </c>
      <c r="C81" s="10" t="s">
        <v>61</v>
      </c>
      <c r="D81" s="11">
        <v>129000000</v>
      </c>
      <c r="E81" s="29">
        <v>0.25</v>
      </c>
      <c r="F81" s="17"/>
      <c r="G81" s="20"/>
      <c r="H81" s="20"/>
      <c r="I81" s="17"/>
    </row>
    <row r="82" spans="1:9" x14ac:dyDescent="0.35">
      <c r="A82" s="28" t="s">
        <v>65</v>
      </c>
      <c r="B82" s="9">
        <f t="shared" si="1"/>
        <v>129000000</v>
      </c>
      <c r="C82" s="10" t="s">
        <v>61</v>
      </c>
      <c r="D82" s="11">
        <v>163000000</v>
      </c>
      <c r="E82" s="29">
        <v>0.26</v>
      </c>
      <c r="F82" s="17"/>
      <c r="G82" s="20"/>
      <c r="H82" s="20"/>
      <c r="I82" s="17"/>
    </row>
    <row r="83" spans="1:9" x14ac:dyDescent="0.35">
      <c r="A83" s="28" t="s">
        <v>65</v>
      </c>
      <c r="B83" s="9">
        <f t="shared" si="1"/>
        <v>163000000</v>
      </c>
      <c r="C83" s="10" t="s">
        <v>61</v>
      </c>
      <c r="D83" s="11">
        <v>211000000</v>
      </c>
      <c r="E83" s="29">
        <v>0.27</v>
      </c>
      <c r="F83" s="17"/>
      <c r="G83" s="20"/>
      <c r="H83" s="20"/>
      <c r="I83" s="17"/>
    </row>
    <row r="84" spans="1:9" x14ac:dyDescent="0.35">
      <c r="A84" s="28" t="s">
        <v>65</v>
      </c>
      <c r="B84" s="9">
        <f t="shared" si="1"/>
        <v>211000000</v>
      </c>
      <c r="C84" s="10" t="s">
        <v>61</v>
      </c>
      <c r="D84" s="11">
        <v>374000000</v>
      </c>
      <c r="E84" s="29">
        <v>0.28000000000000003</v>
      </c>
      <c r="F84" s="17"/>
      <c r="G84" s="20"/>
      <c r="H84" s="20"/>
      <c r="I84" s="17"/>
    </row>
    <row r="85" spans="1:9" x14ac:dyDescent="0.35">
      <c r="A85" s="28" t="s">
        <v>65</v>
      </c>
      <c r="B85" s="9">
        <f t="shared" si="1"/>
        <v>374000000</v>
      </c>
      <c r="C85" s="10" t="s">
        <v>61</v>
      </c>
      <c r="D85" s="11">
        <v>459000000</v>
      </c>
      <c r="E85" s="29">
        <v>0.28999999999999998</v>
      </c>
      <c r="F85" s="17"/>
      <c r="G85" s="20"/>
      <c r="H85" s="20"/>
      <c r="I85" s="17"/>
    </row>
    <row r="86" spans="1:9" x14ac:dyDescent="0.35">
      <c r="A86" s="28" t="s">
        <v>65</v>
      </c>
      <c r="B86" s="9">
        <f t="shared" si="1"/>
        <v>459000000</v>
      </c>
      <c r="C86" s="10" t="s">
        <v>61</v>
      </c>
      <c r="D86" s="11">
        <v>555000000</v>
      </c>
      <c r="E86" s="29">
        <v>0.3</v>
      </c>
      <c r="F86" s="17"/>
      <c r="G86" s="20"/>
      <c r="H86" s="20"/>
      <c r="I86" s="17"/>
    </row>
    <row r="87" spans="1:9" x14ac:dyDescent="0.35">
      <c r="A87" s="28" t="s">
        <v>65</v>
      </c>
      <c r="B87" s="9">
        <f t="shared" si="1"/>
        <v>555000000</v>
      </c>
      <c r="C87" s="10" t="s">
        <v>61</v>
      </c>
      <c r="D87" s="11">
        <v>704000000</v>
      </c>
      <c r="E87" s="29">
        <v>0.31</v>
      </c>
      <c r="F87" s="17"/>
      <c r="G87" s="20"/>
      <c r="H87" s="20"/>
      <c r="I87" s="17"/>
    </row>
    <row r="88" spans="1:9" x14ac:dyDescent="0.35">
      <c r="A88" s="28" t="s">
        <v>65</v>
      </c>
      <c r="B88" s="9">
        <f t="shared" si="1"/>
        <v>704000000</v>
      </c>
      <c r="C88" s="10" t="s">
        <v>61</v>
      </c>
      <c r="D88" s="11">
        <v>957000000</v>
      </c>
      <c r="E88" s="29">
        <v>0.32</v>
      </c>
      <c r="F88" s="17"/>
      <c r="G88" s="20"/>
      <c r="H88" s="20"/>
      <c r="I88" s="17"/>
    </row>
    <row r="89" spans="1:9" x14ac:dyDescent="0.35">
      <c r="A89" s="28" t="s">
        <v>65</v>
      </c>
      <c r="B89" s="9">
        <f t="shared" si="1"/>
        <v>957000000</v>
      </c>
      <c r="C89" s="10" t="s">
        <v>61</v>
      </c>
      <c r="D89" s="11">
        <v>1405000000</v>
      </c>
      <c r="E89" s="29">
        <v>0.33</v>
      </c>
      <c r="F89" s="17"/>
      <c r="G89" s="20"/>
      <c r="H89" s="20"/>
      <c r="I89" s="21"/>
    </row>
    <row r="90" spans="1:9" x14ac:dyDescent="0.35">
      <c r="A90" s="28" t="s">
        <v>65</v>
      </c>
      <c r="B90" s="9">
        <v>1405000000</v>
      </c>
      <c r="C90" s="10"/>
      <c r="D90" s="11"/>
      <c r="E90" s="29">
        <v>0.34</v>
      </c>
      <c r="F90" s="17"/>
      <c r="G90" s="20"/>
      <c r="H90" s="20"/>
      <c r="I90" s="17"/>
    </row>
    <row r="91" spans="1:9" x14ac:dyDescent="0.35">
      <c r="A91" s="20"/>
      <c r="B91" s="27"/>
      <c r="C91" s="27"/>
      <c r="D91" s="27"/>
      <c r="E91" s="21"/>
      <c r="F91" s="21"/>
      <c r="G91" s="20"/>
      <c r="H91" s="20"/>
      <c r="I91" s="17"/>
    </row>
    <row r="92" spans="1:9" x14ac:dyDescent="0.35">
      <c r="A92" s="28" t="s">
        <v>74</v>
      </c>
      <c r="B92" s="9">
        <v>0</v>
      </c>
      <c r="C92" s="10" t="s">
        <v>61</v>
      </c>
      <c r="D92" s="11">
        <v>6600000</v>
      </c>
      <c r="E92" s="29">
        <v>0</v>
      </c>
      <c r="F92" s="17"/>
      <c r="G92" s="20"/>
      <c r="H92" s="20"/>
      <c r="I92" s="17"/>
    </row>
    <row r="93" spans="1:9" x14ac:dyDescent="0.35">
      <c r="A93" s="28" t="s">
        <v>74</v>
      </c>
      <c r="B93" s="9">
        <f t="shared" ref="B93:B131" si="2">D92</f>
        <v>6600000</v>
      </c>
      <c r="C93" s="10" t="s">
        <v>61</v>
      </c>
      <c r="D93" s="11">
        <v>6950000</v>
      </c>
      <c r="E93" s="29">
        <v>2.5000000000000001E-3</v>
      </c>
      <c r="F93" s="17"/>
      <c r="G93" s="20"/>
      <c r="H93" s="20"/>
      <c r="I93" s="17"/>
    </row>
    <row r="94" spans="1:9" x14ac:dyDescent="0.35">
      <c r="A94" s="28" t="s">
        <v>74</v>
      </c>
      <c r="B94" s="9">
        <f t="shared" si="2"/>
        <v>6950000</v>
      </c>
      <c r="C94" s="10" t="s">
        <v>61</v>
      </c>
      <c r="D94" s="11">
        <v>7350000</v>
      </c>
      <c r="E94" s="29">
        <v>5.0000000000000001E-3</v>
      </c>
      <c r="F94" s="17"/>
      <c r="G94" s="20"/>
      <c r="H94" s="20"/>
      <c r="I94" s="17"/>
    </row>
    <row r="95" spans="1:9" x14ac:dyDescent="0.35">
      <c r="A95" s="28" t="s">
        <v>74</v>
      </c>
      <c r="B95" s="9">
        <f t="shared" si="2"/>
        <v>7350000</v>
      </c>
      <c r="C95" s="10" t="s">
        <v>61</v>
      </c>
      <c r="D95" s="11">
        <v>7800000</v>
      </c>
      <c r="E95" s="29">
        <v>7.4999999999999997E-3</v>
      </c>
      <c r="F95" s="17"/>
      <c r="G95" s="20"/>
      <c r="H95" s="20"/>
      <c r="I95" s="17"/>
    </row>
    <row r="96" spans="1:9" x14ac:dyDescent="0.35">
      <c r="A96" s="28" t="s">
        <v>74</v>
      </c>
      <c r="B96" s="9">
        <f t="shared" si="2"/>
        <v>7800000</v>
      </c>
      <c r="C96" s="10" t="s">
        <v>61</v>
      </c>
      <c r="D96" s="11">
        <v>8850000</v>
      </c>
      <c r="E96" s="29">
        <v>0.01</v>
      </c>
      <c r="F96" s="17"/>
      <c r="G96" s="20"/>
      <c r="H96" s="20"/>
      <c r="I96" s="17"/>
    </row>
    <row r="97" spans="1:9" x14ac:dyDescent="0.35">
      <c r="A97" s="28" t="s">
        <v>74</v>
      </c>
      <c r="B97" s="9">
        <f t="shared" si="2"/>
        <v>8850000</v>
      </c>
      <c r="C97" s="10" t="s">
        <v>61</v>
      </c>
      <c r="D97" s="11">
        <v>9800000</v>
      </c>
      <c r="E97" s="29">
        <v>1.2500000000000001E-2</v>
      </c>
      <c r="F97" s="17"/>
      <c r="G97" s="20"/>
      <c r="H97" s="20"/>
      <c r="I97" s="17"/>
    </row>
    <row r="98" spans="1:9" x14ac:dyDescent="0.35">
      <c r="A98" s="28" t="s">
        <v>74</v>
      </c>
      <c r="B98" s="9">
        <f t="shared" si="2"/>
        <v>9800000</v>
      </c>
      <c r="C98" s="10" t="s">
        <v>61</v>
      </c>
      <c r="D98" s="11">
        <v>10950000</v>
      </c>
      <c r="E98" s="29">
        <v>1.4999999999999999E-2</v>
      </c>
      <c r="F98" s="17"/>
      <c r="G98" s="20"/>
      <c r="H98" s="20"/>
      <c r="I98" s="17"/>
    </row>
    <row r="99" spans="1:9" x14ac:dyDescent="0.35">
      <c r="A99" s="28" t="s">
        <v>74</v>
      </c>
      <c r="B99" s="9">
        <f t="shared" si="2"/>
        <v>10950000</v>
      </c>
      <c r="C99" s="10" t="s">
        <v>61</v>
      </c>
      <c r="D99" s="11">
        <v>11200000</v>
      </c>
      <c r="E99" s="29">
        <v>1.7500000000000002E-2</v>
      </c>
      <c r="F99" s="17"/>
      <c r="G99" s="20"/>
      <c r="H99" s="20"/>
      <c r="I99" s="17"/>
    </row>
    <row r="100" spans="1:9" x14ac:dyDescent="0.35">
      <c r="A100" s="28" t="s">
        <v>74</v>
      </c>
      <c r="B100" s="9">
        <f t="shared" si="2"/>
        <v>11200000</v>
      </c>
      <c r="C100" s="10" t="s">
        <v>61</v>
      </c>
      <c r="D100" s="11">
        <v>12050000</v>
      </c>
      <c r="E100" s="29">
        <v>0.02</v>
      </c>
      <c r="F100" s="17"/>
      <c r="G100" s="20"/>
      <c r="H100" s="20"/>
      <c r="I100" s="17"/>
    </row>
    <row r="101" spans="1:9" x14ac:dyDescent="0.35">
      <c r="A101" s="28" t="s">
        <v>74</v>
      </c>
      <c r="B101" s="9">
        <f t="shared" si="2"/>
        <v>12050000</v>
      </c>
      <c r="C101" s="10" t="s">
        <v>61</v>
      </c>
      <c r="D101" s="11">
        <v>12950000</v>
      </c>
      <c r="E101" s="29">
        <v>0.03</v>
      </c>
      <c r="F101" s="17"/>
      <c r="G101" s="20"/>
      <c r="H101" s="20"/>
      <c r="I101" s="17"/>
    </row>
    <row r="102" spans="1:9" x14ac:dyDescent="0.35">
      <c r="A102" s="28" t="s">
        <v>74</v>
      </c>
      <c r="B102" s="9">
        <f t="shared" si="2"/>
        <v>12950000</v>
      </c>
      <c r="C102" s="10" t="s">
        <v>61</v>
      </c>
      <c r="D102" s="11">
        <v>14150000</v>
      </c>
      <c r="E102" s="29">
        <v>0.04</v>
      </c>
      <c r="F102" s="17"/>
      <c r="G102" s="20"/>
      <c r="H102" s="20"/>
      <c r="I102" s="17"/>
    </row>
    <row r="103" spans="1:9" x14ac:dyDescent="0.35">
      <c r="A103" s="28" t="s">
        <v>74</v>
      </c>
      <c r="B103" s="9">
        <f t="shared" si="2"/>
        <v>14150000</v>
      </c>
      <c r="C103" s="10" t="s">
        <v>61</v>
      </c>
      <c r="D103" s="11">
        <v>15550000</v>
      </c>
      <c r="E103" s="29">
        <v>0.05</v>
      </c>
      <c r="F103" s="17"/>
      <c r="G103" s="20"/>
      <c r="H103" s="20"/>
      <c r="I103" s="17"/>
    </row>
    <row r="104" spans="1:9" x14ac:dyDescent="0.35">
      <c r="A104" s="28" t="s">
        <v>74</v>
      </c>
      <c r="B104" s="9">
        <f t="shared" si="2"/>
        <v>15550000</v>
      </c>
      <c r="C104" s="10" t="s">
        <v>61</v>
      </c>
      <c r="D104" s="11">
        <v>17050000</v>
      </c>
      <c r="E104" s="29">
        <v>0.06</v>
      </c>
      <c r="F104" s="17"/>
      <c r="G104" s="20"/>
      <c r="H104" s="20"/>
      <c r="I104" s="17"/>
    </row>
    <row r="105" spans="1:9" x14ac:dyDescent="0.35">
      <c r="A105" s="28" t="s">
        <v>74</v>
      </c>
      <c r="B105" s="9">
        <f t="shared" si="2"/>
        <v>17050000</v>
      </c>
      <c r="C105" s="10" t="s">
        <v>61</v>
      </c>
      <c r="D105" s="11">
        <v>19500000</v>
      </c>
      <c r="E105" s="29">
        <v>7.0000000000000007E-2</v>
      </c>
      <c r="F105" s="17"/>
      <c r="G105" s="20"/>
      <c r="H105" s="20"/>
      <c r="I105" s="17"/>
    </row>
    <row r="106" spans="1:9" x14ac:dyDescent="0.35">
      <c r="A106" s="28" t="s">
        <v>74</v>
      </c>
      <c r="B106" s="9">
        <f t="shared" si="2"/>
        <v>19500000</v>
      </c>
      <c r="C106" s="10" t="s">
        <v>61</v>
      </c>
      <c r="D106" s="11">
        <v>22700000</v>
      </c>
      <c r="E106" s="29">
        <v>0.08</v>
      </c>
      <c r="F106" s="17"/>
      <c r="G106" s="20"/>
      <c r="H106" s="20"/>
      <c r="I106" s="17"/>
    </row>
    <row r="107" spans="1:9" x14ac:dyDescent="0.35">
      <c r="A107" s="28" t="s">
        <v>74</v>
      </c>
      <c r="B107" s="9">
        <f t="shared" si="2"/>
        <v>22700000</v>
      </c>
      <c r="C107" s="10" t="s">
        <v>61</v>
      </c>
      <c r="D107" s="11">
        <v>26600000</v>
      </c>
      <c r="E107" s="29">
        <v>0.09</v>
      </c>
      <c r="F107" s="17"/>
      <c r="G107" s="20"/>
      <c r="H107" s="20"/>
      <c r="I107" s="17"/>
    </row>
    <row r="108" spans="1:9" x14ac:dyDescent="0.35">
      <c r="A108" s="28" t="s">
        <v>74</v>
      </c>
      <c r="B108" s="9">
        <f t="shared" si="2"/>
        <v>26600000</v>
      </c>
      <c r="C108" s="10" t="s">
        <v>61</v>
      </c>
      <c r="D108" s="11">
        <v>28100000</v>
      </c>
      <c r="E108" s="29">
        <v>0.1</v>
      </c>
      <c r="F108" s="17"/>
      <c r="G108" s="20"/>
      <c r="H108" s="20"/>
      <c r="I108" s="17"/>
    </row>
    <row r="109" spans="1:9" x14ac:dyDescent="0.35">
      <c r="A109" s="28" t="s">
        <v>74</v>
      </c>
      <c r="B109" s="9">
        <f t="shared" si="2"/>
        <v>28100000</v>
      </c>
      <c r="C109" s="10" t="s">
        <v>61</v>
      </c>
      <c r="D109" s="11">
        <v>30100000</v>
      </c>
      <c r="E109" s="29">
        <v>0.11</v>
      </c>
      <c r="F109" s="17"/>
      <c r="G109" s="20"/>
      <c r="H109" s="20"/>
      <c r="I109" s="17"/>
    </row>
    <row r="110" spans="1:9" x14ac:dyDescent="0.35">
      <c r="A110" s="28" t="s">
        <v>74</v>
      </c>
      <c r="B110" s="9">
        <f t="shared" si="2"/>
        <v>30100000</v>
      </c>
      <c r="C110" s="10" t="s">
        <v>61</v>
      </c>
      <c r="D110" s="11">
        <v>32600000</v>
      </c>
      <c r="E110" s="29">
        <v>0.12</v>
      </c>
      <c r="F110" s="17"/>
      <c r="G110" s="20"/>
      <c r="H110" s="20"/>
      <c r="I110" s="17"/>
    </row>
    <row r="111" spans="1:9" x14ac:dyDescent="0.35">
      <c r="A111" s="28" t="s">
        <v>74</v>
      </c>
      <c r="B111" s="9">
        <f t="shared" si="2"/>
        <v>32600000</v>
      </c>
      <c r="C111" s="10" t="s">
        <v>61</v>
      </c>
      <c r="D111" s="11">
        <v>35400000</v>
      </c>
      <c r="E111" s="29">
        <v>0.13</v>
      </c>
      <c r="F111" s="17"/>
      <c r="G111" s="20"/>
      <c r="H111" s="20"/>
      <c r="I111" s="17"/>
    </row>
    <row r="112" spans="1:9" x14ac:dyDescent="0.35">
      <c r="A112" s="28" t="s">
        <v>74</v>
      </c>
      <c r="B112" s="9">
        <f>D111</f>
        <v>35400000</v>
      </c>
      <c r="C112" s="10" t="s">
        <v>61</v>
      </c>
      <c r="D112" s="11">
        <v>38900000</v>
      </c>
      <c r="E112" s="29">
        <v>0.14000000000000001</v>
      </c>
      <c r="F112" s="17"/>
      <c r="G112" s="20"/>
      <c r="H112" s="20"/>
      <c r="I112" s="17"/>
    </row>
    <row r="113" spans="1:9" x14ac:dyDescent="0.35">
      <c r="A113" s="28" t="s">
        <v>74</v>
      </c>
      <c r="B113" s="9">
        <f t="shared" si="2"/>
        <v>38900000</v>
      </c>
      <c r="C113" s="10" t="s">
        <v>61</v>
      </c>
      <c r="D113" s="11">
        <v>43000000</v>
      </c>
      <c r="E113" s="29">
        <v>0.15</v>
      </c>
      <c r="F113" s="17"/>
      <c r="G113" s="20"/>
      <c r="H113" s="20"/>
      <c r="I113" s="17"/>
    </row>
    <row r="114" spans="1:9" x14ac:dyDescent="0.35">
      <c r="A114" s="28" t="s">
        <v>74</v>
      </c>
      <c r="B114" s="9">
        <f t="shared" si="2"/>
        <v>43000000</v>
      </c>
      <c r="C114" s="10" t="s">
        <v>61</v>
      </c>
      <c r="D114" s="11">
        <v>47400000</v>
      </c>
      <c r="E114" s="29">
        <v>0.16</v>
      </c>
      <c r="F114" s="17"/>
      <c r="G114" s="20"/>
      <c r="H114" s="20"/>
      <c r="I114" s="17"/>
    </row>
    <row r="115" spans="1:9" x14ac:dyDescent="0.35">
      <c r="A115" s="28" t="s">
        <v>74</v>
      </c>
      <c r="B115" s="9">
        <f t="shared" si="2"/>
        <v>47400000</v>
      </c>
      <c r="C115" s="10" t="s">
        <v>61</v>
      </c>
      <c r="D115" s="11">
        <v>51200000</v>
      </c>
      <c r="E115" s="29">
        <v>0.17</v>
      </c>
      <c r="F115" s="17"/>
      <c r="G115" s="20"/>
      <c r="H115" s="20"/>
      <c r="I115" s="17"/>
    </row>
    <row r="116" spans="1:9" x14ac:dyDescent="0.35">
      <c r="A116" s="28" t="s">
        <v>74</v>
      </c>
      <c r="B116" s="9">
        <f>D115</f>
        <v>51200000</v>
      </c>
      <c r="C116" s="10" t="s">
        <v>61</v>
      </c>
      <c r="D116" s="11">
        <v>55800000</v>
      </c>
      <c r="E116" s="29">
        <v>0.18</v>
      </c>
      <c r="F116" s="17"/>
      <c r="G116" s="20"/>
      <c r="H116" s="20"/>
      <c r="I116" s="17"/>
    </row>
    <row r="117" spans="1:9" x14ac:dyDescent="0.35">
      <c r="A117" s="28" t="s">
        <v>74</v>
      </c>
      <c r="B117" s="9">
        <f t="shared" si="2"/>
        <v>55800000</v>
      </c>
      <c r="C117" s="10" t="s">
        <v>61</v>
      </c>
      <c r="D117" s="11">
        <v>60400000</v>
      </c>
      <c r="E117" s="29">
        <v>0.19</v>
      </c>
      <c r="F117" s="17"/>
      <c r="G117" s="20"/>
      <c r="H117" s="20"/>
      <c r="I117" s="17"/>
    </row>
    <row r="118" spans="1:9" x14ac:dyDescent="0.35">
      <c r="A118" s="28" t="s">
        <v>74</v>
      </c>
      <c r="B118" s="9">
        <f t="shared" si="2"/>
        <v>60400000</v>
      </c>
      <c r="C118" s="10" t="s">
        <v>61</v>
      </c>
      <c r="D118" s="11">
        <v>66700000</v>
      </c>
      <c r="E118" s="29">
        <v>0.2</v>
      </c>
      <c r="F118" s="17"/>
      <c r="G118" s="20"/>
      <c r="H118" s="20"/>
      <c r="I118" s="17"/>
    </row>
    <row r="119" spans="1:9" x14ac:dyDescent="0.35">
      <c r="A119" s="28" t="s">
        <v>74</v>
      </c>
      <c r="B119" s="9">
        <f t="shared" si="2"/>
        <v>66700000</v>
      </c>
      <c r="C119" s="10" t="s">
        <v>61</v>
      </c>
      <c r="D119" s="11">
        <v>74500000</v>
      </c>
      <c r="E119" s="29">
        <v>0.21</v>
      </c>
      <c r="F119" s="17"/>
      <c r="G119" s="20"/>
      <c r="H119" s="20"/>
      <c r="I119" s="17"/>
    </row>
    <row r="120" spans="1:9" x14ac:dyDescent="0.35">
      <c r="A120" s="28" t="s">
        <v>74</v>
      </c>
      <c r="B120" s="9">
        <f t="shared" si="2"/>
        <v>74500000</v>
      </c>
      <c r="C120" s="10" t="s">
        <v>61</v>
      </c>
      <c r="D120" s="11">
        <v>83200000</v>
      </c>
      <c r="E120" s="29">
        <v>0.22</v>
      </c>
      <c r="F120" s="17"/>
      <c r="G120" s="20"/>
      <c r="H120" s="20"/>
      <c r="I120" s="17"/>
    </row>
    <row r="121" spans="1:9" x14ac:dyDescent="0.35">
      <c r="A121" s="28" t="s">
        <v>74</v>
      </c>
      <c r="B121" s="9">
        <f t="shared" si="2"/>
        <v>83200000</v>
      </c>
      <c r="C121" s="10" t="s">
        <v>61</v>
      </c>
      <c r="D121" s="11">
        <v>95600000</v>
      </c>
      <c r="E121" s="29">
        <v>0.23</v>
      </c>
      <c r="F121" s="17"/>
      <c r="G121" s="20"/>
      <c r="H121" s="20"/>
      <c r="I121" s="17"/>
    </row>
    <row r="122" spans="1:9" x14ac:dyDescent="0.35">
      <c r="A122" s="28" t="s">
        <v>74</v>
      </c>
      <c r="B122" s="9">
        <f t="shared" si="2"/>
        <v>95600000</v>
      </c>
      <c r="C122" s="10" t="s">
        <v>61</v>
      </c>
      <c r="D122" s="11">
        <v>110000000</v>
      </c>
      <c r="E122" s="29">
        <v>0.24</v>
      </c>
      <c r="F122" s="17"/>
      <c r="G122" s="20"/>
      <c r="H122" s="20"/>
      <c r="I122" s="17"/>
    </row>
    <row r="123" spans="1:9" x14ac:dyDescent="0.35">
      <c r="A123" s="28" t="s">
        <v>74</v>
      </c>
      <c r="B123" s="9">
        <f t="shared" si="2"/>
        <v>110000000</v>
      </c>
      <c r="C123" s="10" t="s">
        <v>61</v>
      </c>
      <c r="D123" s="11">
        <v>134000000</v>
      </c>
      <c r="E123" s="29">
        <v>0.25</v>
      </c>
      <c r="F123" s="17"/>
      <c r="G123" s="20"/>
      <c r="H123" s="20"/>
      <c r="I123" s="17"/>
    </row>
    <row r="124" spans="1:9" x14ac:dyDescent="0.35">
      <c r="A124" s="28" t="s">
        <v>74</v>
      </c>
      <c r="B124" s="9">
        <f>D123</f>
        <v>134000000</v>
      </c>
      <c r="C124" s="10" t="s">
        <v>61</v>
      </c>
      <c r="D124" s="11">
        <v>169000000</v>
      </c>
      <c r="E124" s="29">
        <v>0.26</v>
      </c>
      <c r="F124" s="17"/>
      <c r="G124" s="20"/>
      <c r="H124" s="20"/>
      <c r="I124" s="17"/>
    </row>
    <row r="125" spans="1:9" x14ac:dyDescent="0.35">
      <c r="A125" s="28" t="s">
        <v>74</v>
      </c>
      <c r="B125" s="9">
        <f t="shared" si="2"/>
        <v>169000000</v>
      </c>
      <c r="C125" s="10" t="s">
        <v>61</v>
      </c>
      <c r="D125" s="11">
        <v>221000000</v>
      </c>
      <c r="E125" s="29">
        <v>0.27</v>
      </c>
      <c r="F125" s="17"/>
      <c r="G125" s="20"/>
      <c r="H125" s="20"/>
      <c r="I125" s="17"/>
    </row>
    <row r="126" spans="1:9" x14ac:dyDescent="0.35">
      <c r="A126" s="28" t="s">
        <v>74</v>
      </c>
      <c r="B126" s="9">
        <f t="shared" si="2"/>
        <v>221000000</v>
      </c>
      <c r="C126" s="10" t="s">
        <v>61</v>
      </c>
      <c r="D126" s="11">
        <v>390000000</v>
      </c>
      <c r="E126" s="29">
        <v>0.28000000000000003</v>
      </c>
      <c r="F126" s="17"/>
      <c r="G126" s="20"/>
      <c r="H126" s="20"/>
      <c r="I126" s="17"/>
    </row>
    <row r="127" spans="1:9" x14ac:dyDescent="0.35">
      <c r="A127" s="28" t="s">
        <v>74</v>
      </c>
      <c r="B127" s="9">
        <f>D126</f>
        <v>390000000</v>
      </c>
      <c r="C127" s="10" t="s">
        <v>61</v>
      </c>
      <c r="D127" s="11">
        <v>463000000</v>
      </c>
      <c r="E127" s="29">
        <v>0.28999999999999998</v>
      </c>
      <c r="F127" s="17"/>
      <c r="G127" s="20"/>
      <c r="H127" s="20"/>
      <c r="I127" s="17"/>
    </row>
    <row r="128" spans="1:9" x14ac:dyDescent="0.35">
      <c r="A128" s="28" t="s">
        <v>74</v>
      </c>
      <c r="B128" s="9">
        <f t="shared" si="2"/>
        <v>463000000</v>
      </c>
      <c r="C128" s="10" t="s">
        <v>61</v>
      </c>
      <c r="D128" s="11">
        <v>561000000</v>
      </c>
      <c r="E128" s="29">
        <v>0.3</v>
      </c>
      <c r="F128" s="17"/>
      <c r="G128" s="20"/>
      <c r="H128" s="20"/>
      <c r="I128" s="17"/>
    </row>
    <row r="129" spans="1:9" x14ac:dyDescent="0.35">
      <c r="A129" s="28" t="s">
        <v>74</v>
      </c>
      <c r="B129" s="9">
        <f t="shared" si="2"/>
        <v>561000000</v>
      </c>
      <c r="C129" s="10" t="s">
        <v>61</v>
      </c>
      <c r="D129" s="11">
        <v>709000000</v>
      </c>
      <c r="E129" s="29">
        <v>0.31</v>
      </c>
      <c r="F129" s="17"/>
      <c r="G129" s="20"/>
      <c r="H129" s="20"/>
      <c r="I129" s="17"/>
    </row>
    <row r="130" spans="1:9" x14ac:dyDescent="0.35">
      <c r="A130" s="28" t="s">
        <v>74</v>
      </c>
      <c r="B130" s="9">
        <f t="shared" si="2"/>
        <v>709000000</v>
      </c>
      <c r="C130" s="10" t="s">
        <v>61</v>
      </c>
      <c r="D130" s="11">
        <v>965000000</v>
      </c>
      <c r="E130" s="29">
        <v>0.32</v>
      </c>
      <c r="F130" s="17"/>
      <c r="G130" s="20"/>
      <c r="H130" s="20"/>
      <c r="I130" s="17"/>
    </row>
    <row r="131" spans="1:9" x14ac:dyDescent="0.35">
      <c r="A131" s="28" t="s">
        <v>74</v>
      </c>
      <c r="B131" s="9">
        <f t="shared" si="2"/>
        <v>965000000</v>
      </c>
      <c r="C131" s="10" t="s">
        <v>61</v>
      </c>
      <c r="D131" s="11">
        <v>1419000000</v>
      </c>
      <c r="E131" s="29">
        <v>0.33</v>
      </c>
      <c r="F131" s="17"/>
      <c r="G131" s="20"/>
      <c r="H131" s="20"/>
      <c r="I131" s="17"/>
    </row>
    <row r="132" spans="1:9" x14ac:dyDescent="0.35">
      <c r="A132" s="28" t="s">
        <v>74</v>
      </c>
      <c r="B132" s="9">
        <v>1419000000</v>
      </c>
      <c r="C132" s="10"/>
      <c r="D132" s="11"/>
      <c r="E132" s="29">
        <v>0.34</v>
      </c>
      <c r="F132" s="17"/>
      <c r="G132" s="20"/>
      <c r="H132" s="20"/>
      <c r="I132" s="17"/>
    </row>
  </sheetData>
  <mergeCells count="1"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Structure</vt:lpstr>
      <vt:lpstr>Transfer</vt:lpstr>
      <vt:lpstr>PPh 21</vt:lpstr>
      <vt:lpstr>Salary</vt:lpstr>
      <vt:lpstr>Slip Gaji</vt:lpstr>
      <vt:lpstr>TER</vt:lpstr>
      <vt:lpstr>'Slip Gaji'!Print_Area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 D.</dc:creator>
  <cp:lastModifiedBy>Pisca Dwi</cp:lastModifiedBy>
  <cp:lastPrinted>2026-01-24T05:14:27Z</cp:lastPrinted>
  <dcterms:created xsi:type="dcterms:W3CDTF">2025-09-16T10:10:26Z</dcterms:created>
  <dcterms:modified xsi:type="dcterms:W3CDTF">2026-04-23T08:36:03Z</dcterms:modified>
</cp:coreProperties>
</file>